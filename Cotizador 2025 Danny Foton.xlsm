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tizador" sheetId="1" r:id="rId5"/>
    <sheet state="visible" name="Valores" sheetId="2" r:id="rId6"/>
  </sheets>
  <definedNames>
    <definedName name="_xleta.PY">#NAME?</definedName>
  </definedNames>
  <calcPr/>
  <extLst>
    <ext uri="GoogleSheetsCustomDataVersion2">
      <go:sheetsCustomData xmlns:go="http://customooxmlschemas.google.com/" r:id="rId7" roundtripDataChecksum="ngopgwZAdD1N7+127JwR99si1aUI38NAqVt1Ec6LH8k="/>
    </ext>
  </extLst>
</workbook>
</file>

<file path=xl/sharedStrings.xml><?xml version="1.0" encoding="utf-8"?>
<sst xmlns="http://schemas.openxmlformats.org/spreadsheetml/2006/main" count="192" uniqueCount="160">
  <si>
    <t>a</t>
  </si>
  <si>
    <t>FECHA:</t>
  </si>
  <si>
    <t>ATENCIÓN:</t>
  </si>
  <si>
    <t>PEDRO PUTIS</t>
  </si>
  <si>
    <t>No. Cotización:</t>
  </si>
  <si>
    <t>EMPRESA:</t>
  </si>
  <si>
    <t>LA MIA EMPRESA</t>
  </si>
  <si>
    <t>P   R   E   S   E   N   T   E.</t>
  </si>
  <si>
    <t>Camiones Orientales de León, como representante exclusivo de los afamados Camiones FOTON, tiene el agrado de poner a su consideración la siguiente propuesta comercial:</t>
  </si>
  <si>
    <t>MARCA</t>
  </si>
  <si>
    <t>TIPO</t>
  </si>
  <si>
    <t>MODELO</t>
  </si>
  <si>
    <t>AÑO</t>
  </si>
  <si>
    <t>GARANTÍA</t>
  </si>
  <si>
    <t>FOTON</t>
  </si>
  <si>
    <t>PICKUP</t>
  </si>
  <si>
    <t>TUNLAND</t>
  </si>
  <si>
    <t>2024</t>
  </si>
  <si>
    <t>10 AÑOS O 200 MIL KILOMETROS</t>
  </si>
  <si>
    <t>VERSIÓN</t>
  </si>
  <si>
    <t>AREA DE CARGA</t>
  </si>
  <si>
    <t>PBV</t>
  </si>
  <si>
    <t>CARGA ÚTIL</t>
  </si>
  <si>
    <t>G9 4X4 AUT</t>
  </si>
  <si>
    <t>Largo:</t>
  </si>
  <si>
    <t>2.25 mts</t>
  </si>
  <si>
    <t>3,000 Kilos</t>
  </si>
  <si>
    <t>Ancho:</t>
  </si>
  <si>
    <t>4.56 mts</t>
  </si>
  <si>
    <t>Alto:</t>
  </si>
  <si>
    <t>1.89 mts</t>
  </si>
  <si>
    <t>Imagen de uso Ilustrativo</t>
  </si>
  <si>
    <t>C   O   T   I   Z   A   C   I   Ó   N</t>
  </si>
  <si>
    <t xml:space="preserve">UNIDAD </t>
  </si>
  <si>
    <t>#</t>
  </si>
  <si>
    <t>Descripción</t>
  </si>
  <si>
    <t>Precio</t>
  </si>
  <si>
    <t>Cantidad</t>
  </si>
  <si>
    <t>Importe</t>
  </si>
  <si>
    <t>FOTON TUNLAND V9 4X4</t>
  </si>
  <si>
    <t xml:space="preserve">ACCESORIOS </t>
  </si>
  <si>
    <t>D    E    S    C    U    E    N    T    O</t>
  </si>
  <si>
    <t>Observaciones</t>
  </si>
  <si>
    <t>Total</t>
  </si>
  <si>
    <t>Moneda</t>
  </si>
  <si>
    <t>MXN</t>
  </si>
  <si>
    <t>Los precios incluyen IVA</t>
  </si>
  <si>
    <t>ESPECIFICACIONES:</t>
  </si>
  <si>
    <t>el nefrons</t>
  </si>
  <si>
    <t>Se anexa ficha técnica con especificaciones de la unidad.</t>
  </si>
  <si>
    <t>FECHA DE ENTREGA:</t>
  </si>
  <si>
    <t>Disponibilidad Inmediata.</t>
  </si>
  <si>
    <t>CONDICIONES DE COMPRA</t>
  </si>
  <si>
    <t>COLOR DE LA UNIDAD:</t>
  </si>
  <si>
    <t>EL DISPONIBLE</t>
  </si>
  <si>
    <t>VIGENCIA:</t>
  </si>
  <si>
    <t>15 DIAS CALENDARIO, DESDE LA FECHA DE EMISION DE ESTE DOCUMENTO</t>
  </si>
  <si>
    <t>GARANTIA:</t>
  </si>
  <si>
    <t>SERVICIO POST-VENTA:</t>
  </si>
  <si>
    <t xml:space="preserve">DISPONEMOS DE UN AMPLIO CENTRO DE SERVICIOS EN LEÓN, GUANAJUATO. </t>
  </si>
  <si>
    <t>OTROS PRODUCTOS Y SERVICIOS:</t>
  </si>
  <si>
    <t>CONTAMOS CON UN AMPLIO STOCK DE REPUESTOS ORIGINALES Y PERSONAL ALTAMENTE CALIFICADO RESPALDANDO PLENAMENTE SU INVERSIÓN.</t>
  </si>
  <si>
    <t>CUENTA PARA DEPOSITOS Y TRANSFERENCIAS BANCARIAS:</t>
  </si>
  <si>
    <t>BBVA No. DE CUENTA CLABE: 012225001983190223 No. DE CUENTA: 0198319022 A NOMBRE DE CAMIONES ORIENTALES DE LEON, SA DE CV. RFC: COL141210625</t>
  </si>
  <si>
    <t>Nos encantaría tener la oportunidad de contar con su preferencia.</t>
  </si>
  <si>
    <r>
      <rPr>
        <rFont val="Arial"/>
        <i/>
        <color theme="1"/>
        <sz val="16.0"/>
      </rPr>
      <t xml:space="preserve"> </t>
    </r>
    <r>
      <rPr>
        <rFont val="Arial"/>
        <b/>
        <i/>
        <color theme="1"/>
        <sz val="16.0"/>
      </rPr>
      <t>Agende su PRUEBA DE MANEJO</t>
    </r>
    <r>
      <rPr>
        <rFont val="Arial"/>
        <i/>
        <color theme="1"/>
        <sz val="16.0"/>
      </rPr>
      <t>. Cita previa</t>
    </r>
  </si>
  <si>
    <t>Asesor</t>
  </si>
  <si>
    <t>Ramón Daniel Rivera Ayala</t>
  </si>
  <si>
    <t>ventas2@fotongto.com</t>
  </si>
  <si>
    <t>FOLIOS</t>
  </si>
  <si>
    <t>NUMERO</t>
  </si>
  <si>
    <t>TM3 CHASIS</t>
  </si>
  <si>
    <t>S5</t>
  </si>
  <si>
    <t>ISF 3.8 L / 154 hp / 369 lb-pie / Tanque 120 L / Transmisión 6 Velocidades / Freno de Aire</t>
  </si>
  <si>
    <t>CHASIS</t>
  </si>
  <si>
    <t>TM3</t>
  </si>
  <si>
    <t>Largo  3.30 mts</t>
  </si>
  <si>
    <t>CAJA SECA</t>
  </si>
  <si>
    <t>MILER</t>
  </si>
  <si>
    <t>VW</t>
  </si>
  <si>
    <t>Ancho  1.70 mts</t>
  </si>
  <si>
    <t>CAJA REFRIGERADA</t>
  </si>
  <si>
    <t>S3</t>
  </si>
  <si>
    <t>HVN</t>
  </si>
  <si>
    <t>Alto  1.70 mts</t>
  </si>
  <si>
    <t>PLATAFORMA</t>
  </si>
  <si>
    <t>TNLND</t>
  </si>
  <si>
    <t>S5 CHASIS</t>
  </si>
  <si>
    <t>PLATAFORMA FERRETERA</t>
  </si>
  <si>
    <t>S6</t>
  </si>
  <si>
    <t>MLR</t>
  </si>
  <si>
    <t>REDILAS</t>
  </si>
  <si>
    <t>S8</t>
  </si>
  <si>
    <t>S12</t>
  </si>
  <si>
    <t>PASAJE</t>
  </si>
  <si>
    <t>S20</t>
  </si>
  <si>
    <t>PANEL</t>
  </si>
  <si>
    <t>S35</t>
  </si>
  <si>
    <t>OTRO</t>
  </si>
  <si>
    <t>EST-A 6X4</t>
  </si>
  <si>
    <t>TRACTOCAMIÓN</t>
  </si>
  <si>
    <t>EST-A X13</t>
  </si>
  <si>
    <t>CAPACIDAD DE ARRASTRE</t>
  </si>
  <si>
    <t>PIPA</t>
  </si>
  <si>
    <t>HI-VAN</t>
  </si>
  <si>
    <t>3 AÑOS O 100 MIL KILOMETROS</t>
  </si>
  <si>
    <t>NUMERO DE PASAJEROS</t>
  </si>
  <si>
    <t>OLLA REVOLVEDORA</t>
  </si>
  <si>
    <t>VIEW CS2</t>
  </si>
  <si>
    <t>ST6X4</t>
  </si>
  <si>
    <t>2 AÑOS SIN LIMITE DE KILOMETRAJE</t>
  </si>
  <si>
    <t>CARGA SOBRE CHASIS</t>
  </si>
  <si>
    <t>VOLTEO</t>
  </si>
  <si>
    <t>GALAXY</t>
  </si>
  <si>
    <t>STDX13</t>
  </si>
  <si>
    <t>GRUA</t>
  </si>
  <si>
    <t>EV</t>
  </si>
  <si>
    <t>ENTREGA</t>
  </si>
  <si>
    <t>AMBULANCIA</t>
  </si>
  <si>
    <t>E5</t>
  </si>
  <si>
    <t>Hasta 90 días a partir del pago del 50% de la unidad.</t>
  </si>
  <si>
    <t>G7 4X2 GASOLINA STD</t>
  </si>
  <si>
    <t>G7 4X4 DIESEL STD</t>
  </si>
  <si>
    <t>G7 4X4 DIESEL AUT</t>
  </si>
  <si>
    <t>FOLIO:</t>
  </si>
  <si>
    <t>V7 4X2 HIBRIDA</t>
  </si>
  <si>
    <t>V9 4X4 HIBRIDA</t>
  </si>
  <si>
    <t>VIGENCIA COTIZACION</t>
  </si>
  <si>
    <t>GARANTIA</t>
  </si>
  <si>
    <t>OTORGADA POR EL FABRICANTE DE 3 AÑOS O 100 MIL KILOMETROS.</t>
  </si>
  <si>
    <t>OTORGADA POR EL FABRICANTE DE 2 AÑOS SIN LIMITE DE KILOMETRAJE.</t>
  </si>
  <si>
    <t>OTORGADA POR EL FABRICANTE DE 10 AÑOS O 200 MIL KILOMETROS.</t>
  </si>
  <si>
    <t>S3 EV</t>
  </si>
  <si>
    <t>Motor FOTON Motor Co. FTTB-060 / 100kW / 1000 N.m / Capacidad Batería CATL 81.14 kW/h / Autonomía 220 NEDC / Freno Hidráulico / ABS + EBD / Dirección hidráulica Asistida / Volante Ajustable / Aire Acondicionado. Equipamiento de línea. Cargador 7kWh incluido.</t>
  </si>
  <si>
    <t>V9 TUNLAND</t>
  </si>
  <si>
    <t>FOTON Aucan (MHEV)</t>
  </si>
  <si>
    <t>4F20TC22</t>
  </si>
  <si>
    <t>Híbrido</t>
  </si>
  <si>
    <t>Potencia máxima</t>
  </si>
  <si>
    <t>160 hp @ 3,600 rpm</t>
  </si>
  <si>
    <t>Torque máximo total</t>
  </si>
  <si>
    <t>295 lb-pie @ 1,500 rpm</t>
  </si>
  <si>
    <t>Norma de emisiones</t>
  </si>
  <si>
    <t>Euro V</t>
  </si>
  <si>
    <t>DOC + DPF</t>
  </si>
  <si>
    <t>MOTOR ELECTRICO</t>
  </si>
  <si>
    <t>Beiqi FOTON Motor Co</t>
  </si>
  <si>
    <t>BSG (Belt-Driven Starter Generator)</t>
  </si>
  <si>
    <t>TRANSMISIÓN</t>
  </si>
  <si>
    <t>ZF Transmision</t>
  </si>
  <si>
    <t>ZF-8HP50</t>
  </si>
  <si>
    <t>Automática</t>
  </si>
  <si>
    <t>Tipo de última relación</t>
  </si>
  <si>
    <t>sobre marcha (OD)</t>
  </si>
  <si>
    <t>Relación de engranes</t>
  </si>
  <si>
    <t>1a 5.00 / 8va 0.64 / Rev 3.46</t>
  </si>
  <si>
    <t>G7 AUT DIESEL</t>
  </si>
  <si>
    <t>G7 DIESEL AT Motor: 1,968 cc, 160 hp @ 4,000 rpm, 290 lb-pie @ 1,800 rpm. Transmisión: Automática ZF-8AT. Capacidad de Carga: 1,200 kg. Tanque de Combustible: 75 L. Equipamiento: Faros de niebla, luz diurna LED, vidrios eléctricos, aire acondicionado, rines de aleación. Seguridad: Sistema ABS+EBD+ESC, bolsas de aire (SRS) frontales. Interiores: Capacidad hasta para 5 personas cómodamente ubicadas con asientos de 6 posiciones forrados en vinipiel o tela de acuerdo a la versión con un detallado capitaneado, Opciones de color de vestidura y un centro de control para el Aire acondicionado y mandos al volante con paletas de cambio.</t>
  </si>
  <si>
    <t>V7</t>
  </si>
  <si>
    <t>V7 Motor DIESEL: 1,968 cc, 160 hp @ 3,600 rpm, 295 lb-pie @ 1,500 rpm. Motor Eléctrico: BSG (Belt-Driven Starter Generator) 48V-10kW. Transmisión: Automática ZF-8HP50. Capacidad de Carga: 1,000 kg. Tanque de Combustible: 75 L. Equipamiento: Faros de niebla, luz diurna LED, vidrios eléctricos, aire acondicionado, rines de aleación, sistema multimedia iFOTON.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</si>
</sst>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[$-F800]dddd\,\ mmmm\ dd\,\ yyyy"/>
    <numFmt numFmtId="165" formatCode="&quot;$&quot;#,##0;[Red]\-&quot;$&quot;#,##0"/>
    <numFmt numFmtId="166" formatCode="&quot;$&quot;#,##0.00;\-&quot;$&quot;#,##0.00"/>
    <numFmt numFmtId="167" formatCode="&quot;$&quot;#,##0.00"/>
    <numFmt numFmtId="168" formatCode="&quot;$&quot;#,##0.00_);\(&quot;$&quot;#,##0.00\)"/>
    <numFmt numFmtId="169" formatCode="[$-80A]d&quot; de &quot;mmmm&quot; de &quot;yyyy"/>
  </numFmts>
  <fonts count="43">
    <font>
      <sz val="11.0"/>
      <color theme="1"/>
      <name val="Aptos Narrow"/>
      <scheme val="minor"/>
    </font>
    <font>
      <sz val="11.0"/>
      <color theme="1"/>
      <name val="Arial"/>
    </font>
    <font>
      <b/>
      <sz val="18.0"/>
      <color theme="1"/>
      <name val="Arial"/>
    </font>
    <font>
      <sz val="12.0"/>
      <color theme="1"/>
      <name val="Arial"/>
    </font>
    <font>
      <b/>
      <sz val="14.0"/>
      <color theme="1"/>
      <name val="Arial"/>
    </font>
    <font>
      <sz val="14.0"/>
      <color theme="1"/>
      <name val="Arial"/>
    </font>
    <font>
      <sz val="18.0"/>
      <color theme="1"/>
      <name val="Arial"/>
    </font>
    <font>
      <b/>
      <sz val="12.0"/>
      <color theme="1"/>
      <name val="Arial"/>
    </font>
    <font>
      <b/>
      <sz val="15.0"/>
      <color theme="1"/>
      <name val="Arial"/>
    </font>
    <font>
      <sz val="16.0"/>
      <color theme="1"/>
      <name val="Arial"/>
    </font>
    <font>
      <b/>
      <sz val="20.0"/>
      <color theme="1"/>
      <name val="Arial"/>
    </font>
    <font>
      <b/>
      <sz val="13.0"/>
      <color theme="1"/>
      <name val="Arial"/>
    </font>
    <font>
      <b/>
      <sz val="14.0"/>
      <color theme="0"/>
      <name val="Arial"/>
    </font>
    <font/>
    <font>
      <b/>
      <sz val="10.0"/>
      <color theme="1"/>
      <name val="Arial"/>
    </font>
    <font>
      <b/>
      <sz val="7.0"/>
      <color theme="1"/>
      <name val="Arial"/>
    </font>
    <font>
      <b/>
      <sz val="11.0"/>
      <color theme="0"/>
      <name val="Arial"/>
    </font>
    <font>
      <b/>
      <sz val="10.0"/>
      <color theme="0"/>
      <name val="Arial"/>
    </font>
    <font>
      <b/>
      <sz val="14.0"/>
      <color rgb="FF001328"/>
      <name val="Arial"/>
    </font>
    <font>
      <b/>
      <sz val="13.0"/>
      <color rgb="FF001328"/>
      <name val="Arial"/>
    </font>
    <font>
      <b/>
      <sz val="11.0"/>
      <color rgb="FF001328"/>
      <name val="Arial"/>
    </font>
    <font>
      <b/>
      <sz val="11.0"/>
      <color theme="1"/>
      <name val="Arial"/>
    </font>
    <font>
      <sz val="8.0"/>
      <color theme="1"/>
      <name val="Arial"/>
    </font>
    <font>
      <b/>
      <sz val="20.0"/>
      <color theme="0"/>
      <name val="Arial"/>
    </font>
    <font>
      <b/>
      <sz val="16.0"/>
      <color theme="0"/>
      <name val="Arial"/>
    </font>
    <font>
      <b/>
      <sz val="16.0"/>
      <color theme="1"/>
      <name val="Arial"/>
    </font>
    <font>
      <b/>
      <sz val="9.0"/>
      <color theme="1"/>
      <name val="Arial"/>
    </font>
    <font>
      <i/>
      <sz val="10.0"/>
      <color rgb="FF001328"/>
      <name val="Arial"/>
    </font>
    <font>
      <sz val="11.0"/>
      <color theme="0"/>
      <name val="Arial"/>
    </font>
    <font>
      <sz val="14.0"/>
      <color theme="0"/>
      <name val="Arial"/>
    </font>
    <font>
      <b/>
      <sz val="11.0"/>
      <color rgb="FF000000"/>
      <name val="Arial"/>
    </font>
    <font>
      <b/>
      <sz val="18.0"/>
      <color theme="0"/>
      <name val="Arial"/>
    </font>
    <font>
      <sz val="11.0"/>
      <color rgb="FF000000"/>
      <name val="Arial"/>
    </font>
    <font>
      <i/>
      <sz val="16.0"/>
      <color theme="1"/>
      <name val="Arial"/>
    </font>
    <font>
      <u/>
      <sz val="11.0"/>
      <color theme="10"/>
      <name val="Arial"/>
    </font>
    <font>
      <b/>
      <sz val="14.0"/>
      <color theme="0"/>
      <name val="Allianz Sans"/>
    </font>
    <font>
      <sz val="11.0"/>
      <color theme="1"/>
      <name val="Aptos Narrow"/>
    </font>
    <font>
      <color theme="1"/>
      <name val="Aptos Narrow"/>
      <scheme val="minor"/>
    </font>
    <font>
      <sz val="11.0"/>
      <color rgb="FF001328"/>
      <name val="Play"/>
    </font>
    <font>
      <sz val="10.0"/>
      <color theme="1"/>
      <name val="Arial"/>
    </font>
    <font>
      <b/>
      <sz val="10.0"/>
      <color theme="1"/>
      <name val="Allianz Sans"/>
    </font>
    <font>
      <b/>
      <sz val="11.0"/>
      <color theme="1"/>
      <name val="Aptos Narrow"/>
    </font>
    <font>
      <sz val="11.0"/>
      <color theme="1"/>
      <name val="Tahoma"/>
    </font>
  </fonts>
  <fills count="6">
    <fill>
      <patternFill patternType="none"/>
    </fill>
    <fill>
      <patternFill patternType="lightGray"/>
    </fill>
    <fill>
      <patternFill patternType="solid">
        <fgColor rgb="FF215E99"/>
        <bgColor rgb="FF215E99"/>
      </patternFill>
    </fill>
    <fill>
      <patternFill patternType="solid">
        <fgColor rgb="FFF2F2F2"/>
        <bgColor rgb="FFF2F2F2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0"/>
      </patternFill>
    </fill>
  </fills>
  <borders count="21">
    <border/>
    <border>
      <left/>
      <right/>
      <top/>
      <bottom/>
    </border>
    <border>
      <left/>
      <top/>
      <bottom/>
    </border>
    <border>
      <right/>
      <top/>
      <bottom/>
    </border>
    <border>
      <top/>
      <bottom/>
    </border>
    <border>
      <left/>
      <right/>
      <top/>
      <bottom style="thick">
        <color rgb="FF000000"/>
      </bottom>
    </border>
    <border>
      <left/>
      <top/>
      <bottom style="thick">
        <color rgb="FF000000"/>
      </bottom>
    </border>
    <border>
      <top/>
      <bottom style="thick">
        <color rgb="FF000000"/>
      </bottom>
    </border>
    <border>
      <right/>
      <top/>
      <bottom style="thick">
        <color rgb="FF000000"/>
      </bottom>
    </border>
    <border>
      <left/>
      <right/>
      <top style="thick">
        <color rgb="FF000000"/>
      </top>
      <bottom style="thick">
        <color rgb="FF000000"/>
      </bottom>
    </border>
    <border>
      <left/>
      <top style="thick">
        <color rgb="FF000000"/>
      </top>
      <bottom/>
    </border>
    <border>
      <top style="thick">
        <color rgb="FF000000"/>
      </top>
      <bottom/>
    </border>
    <border>
      <right/>
      <top style="thick">
        <color rgb="FF000000"/>
      </top>
      <bottom/>
    </border>
    <border>
      <left/>
      <top/>
    </border>
    <border>
      <top/>
    </border>
    <border>
      <right/>
      <top/>
    </border>
    <border>
      <left/>
    </border>
    <border>
      <right/>
    </border>
    <border>
      <left/>
      <bottom/>
    </border>
    <border>
      <bottom/>
    </border>
    <border>
      <right/>
      <bottom/>
    </border>
  </borders>
  <cellStyleXfs count="1">
    <xf borderId="0" fillId="0" fontId="0" numFmtId="0" applyAlignment="1" applyFont="1"/>
  </cellStyleXfs>
  <cellXfs count="12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Alignment="1" applyFont="1">
      <alignment horizontal="right"/>
    </xf>
    <xf borderId="0" fillId="0" fontId="3" numFmtId="164" xfId="0" applyAlignment="1" applyFont="1" applyNumberFormat="1">
      <alignment horizontal="left" vertical="center"/>
    </xf>
    <xf borderId="0" fillId="0" fontId="1" numFmtId="164" xfId="0" applyAlignment="1" applyFont="1" applyNumberFormat="1">
      <alignment vertical="center"/>
    </xf>
    <xf borderId="0" fillId="0" fontId="4" numFmtId="0" xfId="0" applyAlignment="1" applyFont="1">
      <alignment horizontal="left"/>
    </xf>
    <xf borderId="0" fillId="0" fontId="5" numFmtId="0" xfId="0" applyAlignment="1" applyFont="1">
      <alignment horizontal="left"/>
    </xf>
    <xf borderId="0" fillId="0" fontId="6" numFmtId="0" xfId="0" applyFont="1"/>
    <xf borderId="0" fillId="0" fontId="7" numFmtId="0" xfId="0" applyAlignment="1" applyFont="1">
      <alignment horizontal="right"/>
    </xf>
    <xf borderId="0" fillId="0" fontId="1" numFmtId="0" xfId="0" applyAlignment="1" applyFont="1">
      <alignment horizontal="left"/>
    </xf>
    <xf borderId="0" fillId="0" fontId="8" numFmtId="0" xfId="0" applyAlignment="1" applyFont="1">
      <alignment horizontal="left" vertical="center"/>
    </xf>
    <xf borderId="0" fillId="0" fontId="9" numFmtId="0" xfId="0" applyFont="1"/>
    <xf borderId="0" fillId="0" fontId="10" numFmtId="0" xfId="0" applyFont="1"/>
    <xf borderId="0" fillId="0" fontId="2" numFmtId="0" xfId="0" applyFont="1"/>
    <xf borderId="0" fillId="0" fontId="11" numFmtId="49" xfId="0" applyAlignment="1" applyFont="1" applyNumberFormat="1">
      <alignment horizontal="left" shrinkToFit="0" vertical="center" wrapText="1"/>
    </xf>
    <xf borderId="1" fillId="2" fontId="12" numFmtId="0" xfId="0" applyAlignment="1" applyBorder="1" applyFill="1" applyFont="1">
      <alignment horizontal="center" vertical="center"/>
    </xf>
    <xf borderId="2" fillId="2" fontId="12" numFmtId="0" xfId="0" applyAlignment="1" applyBorder="1" applyFont="1">
      <alignment horizontal="center" vertical="center"/>
    </xf>
    <xf borderId="3" fillId="0" fontId="13" numFmtId="0" xfId="0" applyBorder="1" applyFont="1"/>
    <xf borderId="0" fillId="0" fontId="7" numFmtId="49" xfId="0" applyAlignment="1" applyFont="1" applyNumberFormat="1">
      <alignment shrinkToFit="0" vertical="center" wrapText="1"/>
    </xf>
    <xf borderId="0" fillId="0" fontId="4" numFmtId="0" xfId="0" applyAlignment="1" applyFont="1">
      <alignment horizontal="center" vertical="center"/>
    </xf>
    <xf borderId="0" fillId="0" fontId="14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0" fillId="0" fontId="4" numFmtId="49" xfId="0" applyAlignment="1" applyFont="1" applyNumberFormat="1">
      <alignment horizontal="center" vertical="center"/>
    </xf>
    <xf borderId="0" fillId="0" fontId="15" numFmtId="0" xfId="0" applyAlignment="1" applyFont="1">
      <alignment horizontal="center" vertical="center"/>
    </xf>
    <xf borderId="2" fillId="2" fontId="16" numFmtId="0" xfId="0" applyAlignment="1" applyBorder="1" applyFont="1">
      <alignment horizontal="center" vertical="center"/>
    </xf>
    <xf borderId="2" fillId="2" fontId="17" numFmtId="0" xfId="0" applyAlignment="1" applyBorder="1" applyFont="1">
      <alignment horizontal="center" vertical="center"/>
    </xf>
    <xf borderId="0" fillId="0" fontId="14" numFmtId="0" xfId="0" applyAlignment="1" applyFont="1">
      <alignment horizontal="center" shrinkToFit="0" wrapText="1"/>
    </xf>
    <xf borderId="0" fillId="0" fontId="18" numFmtId="0" xfId="0" applyAlignment="1" applyFont="1">
      <alignment horizontal="right" vertical="center"/>
    </xf>
    <xf borderId="0" fillId="0" fontId="19" numFmtId="0" xfId="0" applyAlignment="1" applyFont="1">
      <alignment horizontal="right" vertical="center"/>
    </xf>
    <xf borderId="0" fillId="0" fontId="20" numFmtId="3" xfId="0" applyAlignment="1" applyFont="1" applyNumberFormat="1">
      <alignment horizontal="center" vertical="center"/>
    </xf>
    <xf borderId="0" fillId="0" fontId="7" numFmtId="0" xfId="0" applyAlignment="1" applyFont="1">
      <alignment horizontal="center"/>
    </xf>
    <xf borderId="0" fillId="0" fontId="19" numFmtId="0" xfId="0" applyAlignment="1" applyFont="1">
      <alignment horizontal="right" vertical="top"/>
    </xf>
    <xf borderId="0" fillId="0" fontId="21" numFmtId="0" xfId="0" applyAlignment="1" applyFont="1">
      <alignment horizontal="center"/>
    </xf>
    <xf borderId="0" fillId="0" fontId="18" numFmtId="0" xfId="0" applyAlignment="1" applyFont="1">
      <alignment horizontal="center" vertical="center"/>
    </xf>
    <xf borderId="0" fillId="0" fontId="22" numFmtId="0" xfId="0" applyAlignment="1" applyFont="1">
      <alignment horizontal="center" vertical="center"/>
    </xf>
    <xf borderId="2" fillId="2" fontId="23" numFmtId="0" xfId="0" applyAlignment="1" applyBorder="1" applyFont="1">
      <alignment horizontal="center" vertical="center"/>
    </xf>
    <xf borderId="4" fillId="0" fontId="13" numFmtId="0" xfId="0" applyBorder="1" applyFont="1"/>
    <xf borderId="1" fillId="3" fontId="4" numFmtId="0" xfId="0" applyBorder="1" applyFill="1" applyFont="1"/>
    <xf borderId="1" fillId="3" fontId="5" numFmtId="0" xfId="0" applyBorder="1" applyFont="1"/>
    <xf borderId="0" fillId="0" fontId="5" numFmtId="0" xfId="0" applyFont="1"/>
    <xf borderId="1" fillId="3" fontId="4" numFmtId="0" xfId="0" applyAlignment="1" applyBorder="1" applyFont="1">
      <alignment horizontal="center"/>
    </xf>
    <xf borderId="1" fillId="3" fontId="4" numFmtId="0" xfId="0" applyAlignment="1" applyBorder="1" applyFont="1">
      <alignment vertical="center"/>
    </xf>
    <xf borderId="1" fillId="3" fontId="4" numFmtId="0" xfId="0" applyAlignment="1" applyBorder="1" applyFont="1">
      <alignment horizontal="center" vertical="center"/>
    </xf>
    <xf borderId="5" fillId="3" fontId="5" numFmtId="0" xfId="0" applyAlignment="1" applyBorder="1" applyFont="1">
      <alignment horizontal="center" vertical="center"/>
    </xf>
    <xf borderId="6" fillId="3" fontId="1" numFmtId="0" xfId="0" applyAlignment="1" applyBorder="1" applyFont="1">
      <alignment horizontal="left"/>
    </xf>
    <xf borderId="7" fillId="0" fontId="13" numFmtId="0" xfId="0" applyBorder="1" applyFont="1"/>
    <xf borderId="8" fillId="0" fontId="13" numFmtId="0" xfId="0" applyBorder="1" applyFont="1"/>
    <xf borderId="5" fillId="3" fontId="3" numFmtId="165" xfId="0" applyBorder="1" applyFont="1" applyNumberFormat="1"/>
    <xf borderId="5" fillId="3" fontId="5" numFmtId="0" xfId="0" applyAlignment="1" applyBorder="1" applyFont="1">
      <alignment horizontal="center"/>
    </xf>
    <xf borderId="5" fillId="3" fontId="14" numFmtId="166" xfId="0" applyBorder="1" applyFont="1" applyNumberFormat="1"/>
    <xf borderId="1" fillId="3" fontId="7" numFmtId="0" xfId="0" applyAlignment="1" applyBorder="1" applyFont="1">
      <alignment horizontal="center"/>
    </xf>
    <xf borderId="1" fillId="3" fontId="5" numFmtId="0" xfId="0" applyAlignment="1" applyBorder="1" applyFont="1">
      <alignment horizontal="center" vertical="center"/>
    </xf>
    <xf borderId="5" fillId="3" fontId="5" numFmtId="0" xfId="0" applyBorder="1" applyFont="1"/>
    <xf borderId="5" fillId="3" fontId="5" numFmtId="167" xfId="0" applyAlignment="1" applyBorder="1" applyFont="1" applyNumberFormat="1">
      <alignment vertical="center"/>
    </xf>
    <xf borderId="5" fillId="3" fontId="3" numFmtId="167" xfId="0" applyAlignment="1" applyBorder="1" applyFont="1" applyNumberFormat="1">
      <alignment horizontal="center" vertical="center"/>
    </xf>
    <xf borderId="9" fillId="3" fontId="5" numFmtId="0" xfId="0" applyAlignment="1" applyBorder="1" applyFont="1">
      <alignment horizontal="center" vertical="center"/>
    </xf>
    <xf borderId="9" fillId="3" fontId="5" numFmtId="0" xfId="0" applyBorder="1" applyFont="1"/>
    <xf borderId="9" fillId="3" fontId="5" numFmtId="167" xfId="0" applyAlignment="1" applyBorder="1" applyFont="1" applyNumberFormat="1">
      <alignment horizontal="center" vertical="center"/>
    </xf>
    <xf borderId="9" fillId="3" fontId="5" numFmtId="167" xfId="0" applyAlignment="1" applyBorder="1" applyFont="1" applyNumberFormat="1">
      <alignment horizontal="center"/>
    </xf>
    <xf borderId="10" fillId="4" fontId="12" numFmtId="0" xfId="0" applyAlignment="1" applyBorder="1" applyFill="1" applyFont="1">
      <alignment horizontal="right" vertical="center"/>
    </xf>
    <xf borderId="11" fillId="0" fontId="13" numFmtId="0" xfId="0" applyBorder="1" applyFont="1"/>
    <xf borderId="12" fillId="0" fontId="13" numFmtId="0" xfId="0" applyBorder="1" applyFont="1"/>
    <xf borderId="10" fillId="4" fontId="24" numFmtId="168" xfId="0" applyAlignment="1" applyBorder="1" applyFont="1" applyNumberFormat="1">
      <alignment horizontal="right"/>
    </xf>
    <xf borderId="2" fillId="3" fontId="25" numFmtId="167" xfId="0" applyAlignment="1" applyBorder="1" applyFont="1" applyNumberFormat="1">
      <alignment horizontal="right" vertical="center"/>
    </xf>
    <xf borderId="2" fillId="3" fontId="5" numFmtId="0" xfId="0" applyAlignment="1" applyBorder="1" applyFont="1">
      <alignment horizontal="left" shrinkToFit="0" wrapText="1"/>
    </xf>
    <xf borderId="1" fillId="3" fontId="4" numFmtId="0" xfId="0" applyAlignment="1" applyBorder="1" applyFont="1">
      <alignment horizontal="right" vertical="center"/>
    </xf>
    <xf borderId="1" fillId="3" fontId="5" numFmtId="0" xfId="0" applyAlignment="1" applyBorder="1" applyFont="1">
      <alignment vertical="center"/>
    </xf>
    <xf borderId="1" fillId="3" fontId="5" numFmtId="0" xfId="0" applyAlignment="1" applyBorder="1" applyFont="1">
      <alignment shrinkToFit="0" wrapText="1"/>
    </xf>
    <xf borderId="1" fillId="3" fontId="3" numFmtId="0" xfId="0" applyAlignment="1" applyBorder="1" applyFont="1">
      <alignment shrinkToFit="0" wrapText="1"/>
    </xf>
    <xf borderId="1" fillId="3" fontId="1" numFmtId="0" xfId="0" applyBorder="1" applyFont="1"/>
    <xf borderId="0" fillId="0" fontId="2" numFmtId="0" xfId="0" applyAlignment="1" applyFont="1">
      <alignment vertical="center"/>
    </xf>
    <xf borderId="13" fillId="3" fontId="3" numFmtId="0" xfId="0" applyAlignment="1" applyBorder="1" applyFont="1">
      <alignment horizontal="left" shrinkToFit="0" vertical="top" wrapText="1"/>
    </xf>
    <xf borderId="14" fillId="0" fontId="13" numFmtId="0" xfId="0" applyBorder="1" applyFont="1"/>
    <xf borderId="15" fillId="0" fontId="13" numFmtId="0" xfId="0" applyBorder="1" applyFont="1"/>
    <xf borderId="0" fillId="0" fontId="3" numFmtId="0" xfId="0" applyFont="1"/>
    <xf borderId="16" fillId="0" fontId="13" numFmtId="0" xfId="0" applyBorder="1" applyFont="1"/>
    <xf borderId="17" fillId="0" fontId="13" numFmtId="0" xfId="0" applyBorder="1" applyFont="1"/>
    <xf borderId="18" fillId="0" fontId="13" numFmtId="0" xfId="0" applyBorder="1" applyFont="1"/>
    <xf borderId="19" fillId="0" fontId="13" numFmtId="0" xfId="0" applyBorder="1" applyFont="1"/>
    <xf borderId="20" fillId="0" fontId="13" numFmtId="0" xfId="0" applyBorder="1" applyFont="1"/>
    <xf borderId="2" fillId="3" fontId="21" numFmtId="0" xfId="0" applyAlignment="1" applyBorder="1" applyFont="1">
      <alignment horizontal="center" vertical="top"/>
    </xf>
    <xf borderId="0" fillId="0" fontId="26" numFmtId="0" xfId="0" applyAlignment="1" applyFont="1">
      <alignment vertical="center"/>
    </xf>
    <xf borderId="0" fillId="0" fontId="3" numFmtId="0" xfId="0" applyAlignment="1" applyFont="1">
      <alignment vertical="center"/>
    </xf>
    <xf borderId="0" fillId="0" fontId="7" numFmtId="0" xfId="0" applyFont="1"/>
    <xf borderId="0" fillId="0" fontId="27" numFmtId="0" xfId="0" applyAlignment="1" applyFont="1">
      <alignment vertical="center"/>
    </xf>
    <xf borderId="0" fillId="0" fontId="28" numFmtId="0" xfId="0" applyAlignment="1" applyFont="1">
      <alignment shrinkToFit="0" wrapText="1"/>
    </xf>
    <xf borderId="0" fillId="0" fontId="29" numFmtId="0" xfId="0" applyAlignment="1" applyFont="1">
      <alignment shrinkToFit="0" wrapText="1"/>
    </xf>
    <xf borderId="0" fillId="0" fontId="28" numFmtId="0" xfId="0" applyFont="1"/>
    <xf borderId="0" fillId="0" fontId="30" numFmtId="0" xfId="0" applyAlignment="1" applyFont="1">
      <alignment horizontal="left" vertical="center"/>
    </xf>
    <xf borderId="2" fillId="3" fontId="5" numFmtId="0" xfId="0" applyAlignment="1" applyBorder="1" applyFont="1">
      <alignment horizontal="left"/>
    </xf>
    <xf borderId="2" fillId="4" fontId="31" numFmtId="0" xfId="0" applyAlignment="1" applyBorder="1" applyFont="1">
      <alignment horizontal="center"/>
    </xf>
    <xf borderId="0" fillId="0" fontId="21" numFmtId="0" xfId="0" applyAlignment="1" applyFont="1">
      <alignment horizontal="right"/>
    </xf>
    <xf borderId="0" fillId="0" fontId="1" numFmtId="169" xfId="0" applyAlignment="1" applyFont="1" applyNumberFormat="1">
      <alignment horizontal="left" shrinkToFit="0" vertical="center" wrapText="1"/>
    </xf>
    <xf borderId="0" fillId="0" fontId="1" numFmtId="0" xfId="0" applyAlignment="1" applyFont="1">
      <alignment horizontal="left" shrinkToFit="0" vertical="top" wrapText="1"/>
    </xf>
    <xf borderId="0" fillId="0" fontId="32" numFmtId="0" xfId="0" applyAlignment="1" applyFont="1">
      <alignment horizontal="left" shrinkToFit="0" vertical="center" wrapText="1"/>
    </xf>
    <xf borderId="0" fillId="0" fontId="21" numFmtId="0" xfId="0" applyAlignment="1" applyFont="1">
      <alignment horizontal="right" shrinkToFit="0" wrapText="1"/>
    </xf>
    <xf borderId="0" fillId="0" fontId="32" numFmtId="0" xfId="0" applyAlignment="1" applyFont="1">
      <alignment horizontal="left" shrinkToFit="0" wrapText="1"/>
    </xf>
    <xf borderId="0" fillId="0" fontId="21" numFmtId="0" xfId="0" applyFont="1"/>
    <xf borderId="0" fillId="0" fontId="21" numFmtId="0" xfId="0" applyAlignment="1" applyFont="1">
      <alignment shrinkToFit="0" wrapText="1"/>
    </xf>
    <xf borderId="0" fillId="0" fontId="21" numFmtId="0" xfId="0" applyAlignment="1" applyFont="1">
      <alignment horizontal="right" shrinkToFit="0" vertical="center" wrapText="1"/>
    </xf>
    <xf borderId="0" fillId="0" fontId="32" numFmtId="0" xfId="0" applyAlignment="1" applyFont="1">
      <alignment horizontal="left" shrinkToFit="0" vertical="top" wrapText="1"/>
    </xf>
    <xf borderId="0" fillId="0" fontId="5" numFmtId="0" xfId="0" applyAlignment="1" applyFont="1">
      <alignment horizontal="center"/>
    </xf>
    <xf borderId="0" fillId="0" fontId="33" numFmtId="0" xfId="0" applyAlignment="1" applyFont="1">
      <alignment horizontal="center"/>
    </xf>
    <xf borderId="0" fillId="0" fontId="1" numFmtId="0" xfId="0" applyAlignment="1" applyFont="1">
      <alignment horizontal="center"/>
    </xf>
    <xf borderId="0" fillId="0" fontId="1" numFmtId="1" xfId="0" applyAlignment="1" applyFont="1" applyNumberFormat="1">
      <alignment horizontal="left"/>
    </xf>
    <xf borderId="0" fillId="0" fontId="34" numFmtId="0" xfId="0" applyFont="1"/>
    <xf borderId="1" fillId="2" fontId="35" numFmtId="0" xfId="0" applyAlignment="1" applyBorder="1" applyFont="1">
      <alignment horizontal="center" vertical="center"/>
    </xf>
    <xf borderId="2" fillId="2" fontId="35" numFmtId="0" xfId="0" applyAlignment="1" applyBorder="1" applyFont="1">
      <alignment horizontal="center" vertical="center"/>
    </xf>
    <xf borderId="0" fillId="0" fontId="36" numFmtId="0" xfId="0" applyAlignment="1" applyFont="1">
      <alignment horizontal="center"/>
    </xf>
    <xf borderId="0" fillId="0" fontId="37" numFmtId="0" xfId="0" applyFont="1"/>
    <xf borderId="0" fillId="0" fontId="36" numFmtId="0" xfId="0" applyAlignment="1" applyFont="1">
      <alignment horizontal="left"/>
    </xf>
    <xf borderId="0" fillId="0" fontId="38" numFmtId="0" xfId="0" applyAlignment="1" applyFont="1">
      <alignment horizontal="center" vertical="center"/>
    </xf>
    <xf borderId="0" fillId="0" fontId="39" numFmtId="0" xfId="0" applyAlignment="1" applyFont="1">
      <alignment shrinkToFit="0" vertical="center" wrapText="1"/>
    </xf>
    <xf borderId="1" fillId="2" fontId="35" numFmtId="0" xfId="0" applyAlignment="1" applyBorder="1" applyFont="1">
      <alignment vertical="center"/>
    </xf>
    <xf borderId="1" fillId="5" fontId="35" numFmtId="0" xfId="0" applyAlignment="1" applyBorder="1" applyFill="1" applyFont="1">
      <alignment vertical="center"/>
    </xf>
    <xf borderId="0" fillId="0" fontId="40" numFmtId="0" xfId="0" applyFont="1"/>
    <xf borderId="0" fillId="0" fontId="40" numFmtId="0" xfId="0" applyAlignment="1" applyFont="1">
      <alignment vertical="center"/>
    </xf>
    <xf borderId="0" fillId="0" fontId="22" numFmtId="0" xfId="0" applyAlignment="1" applyFont="1">
      <alignment horizontal="right" vertical="center"/>
    </xf>
    <xf borderId="0" fillId="0" fontId="1" numFmtId="0" xfId="0" applyAlignment="1" applyFont="1">
      <alignment horizontal="left" readingOrder="1" vertical="center"/>
    </xf>
    <xf borderId="0" fillId="0" fontId="41" numFmtId="0" xfId="0" applyFont="1"/>
    <xf borderId="0" fillId="0" fontId="42" numFmtId="0" xfId="0" applyAlignment="1" applyFont="1">
      <alignment vertical="center"/>
    </xf>
    <xf borderId="0" fillId="0" fontId="42" numFmtId="0" xfId="0" applyAlignment="1" applyFont="1">
      <alignment shrinkToFit="0" vertical="center" wrapText="1"/>
    </xf>
    <xf borderId="0" fillId="0" fontId="36" numFmtId="169" xfId="0" applyAlignment="1" applyFont="1" applyNumberFormat="1">
      <alignment horizontal="left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4.png"/><Relationship Id="rId3" Type="http://schemas.openxmlformats.org/officeDocument/2006/relationships/image" Target="../media/image1.png"/><Relationship Id="rId4" Type="http://schemas.openxmlformats.org/officeDocument/2006/relationships/image" Target="../media/image5.png"/><Relationship Id="rId5" Type="http://schemas.openxmlformats.org/officeDocument/2006/relationships/image" Target="../media/image6.png"/><Relationship Id="rId6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19050</xdr:colOff>
      <xdr:row>88</xdr:row>
      <xdr:rowOff>57150</xdr:rowOff>
    </xdr:from>
    <xdr:ext cx="8229600" cy="514350"/>
    <xdr:sp>
      <xdr:nvSpPr>
        <xdr:cNvPr id="3" name="Shape 3"/>
        <xdr:cNvSpPr/>
      </xdr:nvSpPr>
      <xdr:spPr>
        <a:xfrm rot="10800000">
          <a:off x="1240725" y="3532350"/>
          <a:ext cx="8210550" cy="495300"/>
        </a:xfrm>
        <a:prstGeom prst="round2SameRect">
          <a:avLst>
            <a:gd fmla="val 16667" name="adj1"/>
            <a:gd fmla="val 0" name="adj2"/>
          </a:avLst>
        </a:prstGeom>
        <a:solidFill>
          <a:schemeClr val="accent1"/>
        </a:solidFill>
        <a:ln cap="flat" cmpd="sng" w="19050">
          <a:solidFill>
            <a:srgbClr val="082836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0</xdr:colOff>
      <xdr:row>48</xdr:row>
      <xdr:rowOff>123825</xdr:rowOff>
    </xdr:from>
    <xdr:ext cx="3381375" cy="857250"/>
    <xdr:sp>
      <xdr:nvSpPr>
        <xdr:cNvPr id="4" name="Shape 4"/>
        <xdr:cNvSpPr txBox="1"/>
      </xdr:nvSpPr>
      <xdr:spPr>
        <a:xfrm>
          <a:off x="3660075" y="3356138"/>
          <a:ext cx="3371850" cy="847725"/>
        </a:xfrm>
        <a:prstGeom prst="rect">
          <a:avLst/>
        </a:prstGeom>
        <a:solidFill>
          <a:srgbClr val="F2F2F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just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Pago: </a:t>
          </a:r>
          <a:r>
            <a:rPr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48 horas antes de la entrega.</a:t>
          </a:r>
          <a:endParaRPr sz="1400"/>
        </a:p>
        <a:p>
          <a:pPr indent="0" lvl="0" marL="0" rtl="0" algn="just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Importante: Mientras no sea confirmado formalmente su pedido (OC) los precios y</a:t>
          </a:r>
          <a:r>
            <a:rPr b="1"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 </a:t>
          </a:r>
          <a:r>
            <a:rPr b="1"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tiempos de entrega quedan sujetos a variación</a:t>
          </a:r>
          <a:r>
            <a:rPr b="1" lang="en-US" sz="1200">
              <a:solidFill>
                <a:schemeClr val="dk1"/>
              </a:solidFill>
              <a:latin typeface="Tahoma"/>
              <a:ea typeface="Tahoma"/>
              <a:cs typeface="Tahoma"/>
              <a:sym typeface="Tahoma"/>
            </a:rPr>
            <a:t>.</a:t>
          </a:r>
          <a:endParaRPr sz="1200">
            <a:latin typeface="Tahoma"/>
            <a:ea typeface="Tahoma"/>
            <a:cs typeface="Tahoma"/>
            <a:sym typeface="Tahoma"/>
          </a:endParaRPr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8372475" cy="1028700"/>
    <xdr:sp>
      <xdr:nvSpPr>
        <xdr:cNvPr id="5" name="Shape 5"/>
        <xdr:cNvSpPr/>
      </xdr:nvSpPr>
      <xdr:spPr>
        <a:xfrm>
          <a:off x="1169288" y="3275175"/>
          <a:ext cx="8353425" cy="1009650"/>
        </a:xfrm>
        <a:prstGeom prst="round2SameRect">
          <a:avLst>
            <a:gd fmla="val 16667" name="adj1"/>
            <a:gd fmla="val 0" name="adj2"/>
          </a:avLst>
        </a:prstGeom>
        <a:solidFill>
          <a:schemeClr val="accent1"/>
        </a:solidFill>
        <a:ln cap="flat" cmpd="sng" w="19050">
          <a:solidFill>
            <a:srgbClr val="082836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742950</xdr:colOff>
      <xdr:row>48</xdr:row>
      <xdr:rowOff>200025</xdr:rowOff>
    </xdr:from>
    <xdr:ext cx="5133975" cy="1000125"/>
    <xdr:sp>
      <xdr:nvSpPr>
        <xdr:cNvPr id="6" name="Shape 6"/>
        <xdr:cNvSpPr txBox="1"/>
      </xdr:nvSpPr>
      <xdr:spPr>
        <a:xfrm>
          <a:off x="2783775" y="3284700"/>
          <a:ext cx="5124450" cy="990600"/>
        </a:xfrm>
        <a:prstGeom prst="rect">
          <a:avLst/>
        </a:prstGeom>
        <a:solidFill>
          <a:srgbClr val="F2F2F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just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Entrega Unidad y Equipo Aliado: </a:t>
          </a: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Se realizará 48 horas después del pago total del proyecto. La unidad se entrega en los patios de Foton León</a:t>
          </a: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 </a:t>
          </a: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o rodando como límite a la redonda hasta 50 km. Fuera de esta área se cotiza traslado.</a:t>
          </a:r>
          <a:endParaRPr sz="1400"/>
        </a:p>
        <a:p>
          <a:pPr indent="0" lvl="0" marL="0" marR="0" rtl="0" algn="just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200"/>
            <a:buFont typeface="Arial"/>
            <a:buNone/>
          </a:pPr>
          <a:r>
            <a:rPr b="1"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Adaptaciones, Versiones, Customización: </a:t>
          </a: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Cualquier adaptación que requiera la unidad y antes de entregarla a la carrocera, la unidad deberá ser liquidada en su totalidad.</a:t>
          </a:r>
          <a:endParaRPr sz="1100"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-9525</xdr:colOff>
      <xdr:row>44</xdr:row>
      <xdr:rowOff>0</xdr:rowOff>
    </xdr:from>
    <xdr:ext cx="8258175" cy="933450"/>
    <xdr:sp>
      <xdr:nvSpPr>
        <xdr:cNvPr id="7" name="Shape 7"/>
        <xdr:cNvSpPr/>
      </xdr:nvSpPr>
      <xdr:spPr>
        <a:xfrm>
          <a:off x="1226438" y="3322800"/>
          <a:ext cx="8239125" cy="914400"/>
        </a:xfrm>
        <a:prstGeom prst="round2SameRect">
          <a:avLst>
            <a:gd fmla="val 16667" name="adj1"/>
            <a:gd fmla="val 0" name="adj2"/>
          </a:avLst>
        </a:prstGeom>
        <a:solidFill>
          <a:schemeClr val="accent1"/>
        </a:solidFill>
        <a:ln cap="flat" cmpd="sng" w="19050">
          <a:solidFill>
            <a:srgbClr val="082836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28575</xdr:colOff>
      <xdr:row>39</xdr:row>
      <xdr:rowOff>104775</xdr:rowOff>
    </xdr:from>
    <xdr:ext cx="8229600" cy="695325"/>
    <xdr:sp>
      <xdr:nvSpPr>
        <xdr:cNvPr id="8" name="Shape 8"/>
        <xdr:cNvSpPr/>
      </xdr:nvSpPr>
      <xdr:spPr>
        <a:xfrm rot="10800000">
          <a:off x="1240725" y="3441863"/>
          <a:ext cx="8210550" cy="676275"/>
        </a:xfrm>
        <a:prstGeom prst="round2SameRect">
          <a:avLst>
            <a:gd fmla="val 16667" name="adj1"/>
            <a:gd fmla="val 0" name="adj2"/>
          </a:avLst>
        </a:prstGeom>
        <a:solidFill>
          <a:schemeClr val="accent1"/>
        </a:solidFill>
        <a:ln cap="flat" cmpd="sng" w="19050">
          <a:solidFill>
            <a:srgbClr val="082836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542925</xdr:colOff>
      <xdr:row>88</xdr:row>
      <xdr:rowOff>38100</xdr:rowOff>
    </xdr:from>
    <xdr:ext cx="6467475" cy="438150"/>
    <xdr:sp>
      <xdr:nvSpPr>
        <xdr:cNvPr id="9" name="Shape 9"/>
        <xdr:cNvSpPr txBox="1"/>
      </xdr:nvSpPr>
      <xdr:spPr>
        <a:xfrm>
          <a:off x="2117025" y="3565688"/>
          <a:ext cx="6457950" cy="4286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chemeClr val="lt1"/>
              </a:solidFill>
              <a:latin typeface="Tahoma"/>
              <a:ea typeface="Tahoma"/>
              <a:cs typeface="Tahoma"/>
              <a:sym typeface="Tahoma"/>
            </a:rPr>
            <a:t>Boulevard Aeropuerto del Bajío 3925, Los Sauces, CP. 37130</a:t>
          </a:r>
          <a:r>
            <a:rPr lang="en-US" sz="1400">
              <a:solidFill>
                <a:schemeClr val="lt1"/>
              </a:solidFill>
              <a:latin typeface="Tahoma"/>
              <a:ea typeface="Tahoma"/>
              <a:cs typeface="Tahoma"/>
              <a:sym typeface="Tahoma"/>
            </a:rPr>
            <a:t> </a:t>
          </a:r>
          <a:r>
            <a:rPr lang="en-US" sz="1400">
              <a:solidFill>
                <a:schemeClr val="lt1"/>
              </a:solidFill>
              <a:latin typeface="Tahoma"/>
              <a:ea typeface="Tahoma"/>
              <a:cs typeface="Tahoma"/>
              <a:sym typeface="Tahoma"/>
            </a:rPr>
            <a:t>León de los Aldama, Guanajuato, México. foton.mx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>
            <a:solidFill>
              <a:schemeClr val="lt1"/>
            </a:solidFill>
            <a:latin typeface="Tahoma"/>
            <a:ea typeface="Tahoma"/>
            <a:cs typeface="Tahoma"/>
            <a:sym typeface="Tahoma"/>
          </a:endParaRPr>
        </a:p>
      </xdr:txBody>
    </xdr:sp>
    <xdr:clientData fLocksWithSheet="0"/>
  </xdr:oneCellAnchor>
  <xdr:oneCellAnchor>
    <xdr:from>
      <xdr:col>0</xdr:col>
      <xdr:colOff>542925</xdr:colOff>
      <xdr:row>88</xdr:row>
      <xdr:rowOff>47625</xdr:rowOff>
    </xdr:from>
    <xdr:ext cx="1019175" cy="238125"/>
    <xdr:sp>
      <xdr:nvSpPr>
        <xdr:cNvPr id="10" name="Shape 10"/>
        <xdr:cNvSpPr txBox="1"/>
      </xdr:nvSpPr>
      <xdr:spPr>
        <a:xfrm>
          <a:off x="4841175" y="3665700"/>
          <a:ext cx="1009650" cy="2286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Tahoma"/>
              <a:ea typeface="Tahoma"/>
              <a:cs typeface="Tahoma"/>
              <a:sym typeface="Tahoma"/>
            </a:rPr>
            <a:t>Foton León</a:t>
          </a:r>
          <a:endParaRPr sz="1400"/>
        </a:p>
      </xdr:txBody>
    </xdr:sp>
    <xdr:clientData fLocksWithSheet="0"/>
  </xdr:oneCellAnchor>
  <xdr:oneCellAnchor>
    <xdr:from>
      <xdr:col>2</xdr:col>
      <xdr:colOff>762000</xdr:colOff>
      <xdr:row>98</xdr:row>
      <xdr:rowOff>19050</xdr:rowOff>
    </xdr:from>
    <xdr:ext cx="3790950" cy="381000"/>
    <xdr:sp>
      <xdr:nvSpPr>
        <xdr:cNvPr id="11" name="Shape 11"/>
        <xdr:cNvSpPr txBox="1"/>
      </xdr:nvSpPr>
      <xdr:spPr>
        <a:xfrm>
          <a:off x="3455288" y="3594263"/>
          <a:ext cx="3781425" cy="3714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2000"/>
        </a:p>
      </xdr:txBody>
    </xdr:sp>
    <xdr:clientData fLocksWithSheet="0"/>
  </xdr:oneCellAnchor>
  <xdr:oneCellAnchor>
    <xdr:from>
      <xdr:col>1</xdr:col>
      <xdr:colOff>304800</xdr:colOff>
      <xdr:row>85</xdr:row>
      <xdr:rowOff>47625</xdr:rowOff>
    </xdr:from>
    <xdr:ext cx="1714500" cy="257175"/>
    <xdr:sp>
      <xdr:nvSpPr>
        <xdr:cNvPr id="12" name="Shape 12"/>
        <xdr:cNvSpPr txBox="1"/>
      </xdr:nvSpPr>
      <xdr:spPr>
        <a:xfrm>
          <a:off x="4493513" y="3656175"/>
          <a:ext cx="1704975" cy="2476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ramondanielriveraayala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95250</xdr:rowOff>
    </xdr:from>
    <xdr:ext cx="1981200" cy="876300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571500</xdr:colOff>
      <xdr:row>0</xdr:row>
      <xdr:rowOff>161925</xdr:rowOff>
    </xdr:from>
    <xdr:ext cx="2257425" cy="695325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44</xdr:row>
      <xdr:rowOff>104775</xdr:rowOff>
    </xdr:from>
    <xdr:ext cx="1981200" cy="79057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561975</xdr:colOff>
      <xdr:row>44</xdr:row>
      <xdr:rowOff>190500</xdr:rowOff>
    </xdr:from>
    <xdr:ext cx="2257425" cy="609600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114300</xdr:colOff>
      <xdr:row>88</xdr:row>
      <xdr:rowOff>38100</xdr:rowOff>
    </xdr:from>
    <xdr:ext cx="447675" cy="428625"/>
    <xdr:pic>
      <xdr:nvPicPr>
        <xdr:cNvPr descr="Facebook logo png, Facebook logo transparente png, Facebook icono transparente gratis png" id="0" name="image1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1057275</xdr:colOff>
      <xdr:row>85</xdr:row>
      <xdr:rowOff>0</xdr:rowOff>
    </xdr:from>
    <xdr:ext cx="504825" cy="352425"/>
    <xdr:pic>
      <xdr:nvPicPr>
        <xdr:cNvPr id="0" name="image5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161925</xdr:colOff>
      <xdr:row>79</xdr:row>
      <xdr:rowOff>38100</xdr:rowOff>
    </xdr:from>
    <xdr:ext cx="1533525" cy="1428750"/>
    <xdr:pic>
      <xdr:nvPicPr>
        <xdr:cNvPr id="0" name="image6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79</xdr:row>
      <xdr:rowOff>228600</xdr:rowOff>
    </xdr:from>
    <xdr:ext cx="952500" cy="1000125"/>
    <xdr:pic>
      <xdr:nvPicPr>
        <xdr:cNvPr id="0" name="image2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mailto:ventas2@fotongto.com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2.63" defaultRowHeight="15.0"/>
  <cols>
    <col customWidth="1" min="1" max="1" width="15.5"/>
    <col customWidth="1" min="2" max="2" width="17.0"/>
    <col customWidth="1" min="3" max="3" width="11.5"/>
    <col customWidth="1" min="4" max="4" width="13.0"/>
    <col customWidth="1" min="5" max="5" width="12.5"/>
    <col customWidth="1" min="6" max="6" width="15.63"/>
    <col customWidth="1" min="7" max="7" width="11.5"/>
    <col customWidth="1" min="8" max="8" width="13.0"/>
    <col customWidth="1" min="9" max="9" width="17.13"/>
    <col customWidth="1" min="10" max="10" width="0.13"/>
    <col customWidth="1" min="11" max="19" width="11.5"/>
    <col customWidth="1" min="20" max="26" width="10.63"/>
  </cols>
  <sheetData>
    <row r="1" ht="13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3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3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3.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3.5" customHeight="1">
      <c r="A7" s="1"/>
      <c r="B7" s="1"/>
      <c r="C7" s="1"/>
      <c r="D7" s="1"/>
      <c r="E7" s="2" t="s">
        <v>1</v>
      </c>
      <c r="F7" s="3">
        <f>TODAY()</f>
        <v>45563</v>
      </c>
      <c r="I7" s="4"/>
      <c r="J7" s="1"/>
      <c r="K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3.5" customHeight="1">
      <c r="A8" s="5" t="s">
        <v>2</v>
      </c>
      <c r="B8" s="6" t="s">
        <v>3</v>
      </c>
      <c r="C8" s="7"/>
      <c r="D8" s="7"/>
      <c r="E8" s="1"/>
      <c r="F8" s="8" t="s">
        <v>4</v>
      </c>
      <c r="G8" s="9" t="str">
        <f>Valores!H23&amp;Valores!I23</f>
        <v>TUNLAND/FTNLN/7147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3.5" customHeight="1">
      <c r="A9" s="10" t="s">
        <v>5</v>
      </c>
      <c r="B9" s="11" t="s">
        <v>6</v>
      </c>
      <c r="C9" s="7"/>
      <c r="D9" s="7"/>
      <c r="E9" s="7"/>
      <c r="F9" s="1"/>
      <c r="G9" s="1"/>
      <c r="H9" s="1"/>
      <c r="I9" s="1"/>
      <c r="J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3.5" customHeight="1">
      <c r="A10" s="12" t="s">
        <v>7</v>
      </c>
      <c r="B10" s="13"/>
      <c r="C10" s="13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T10" s="1"/>
      <c r="U10" s="1"/>
      <c r="V10" s="1"/>
      <c r="W10" s="1"/>
      <c r="X10" s="1"/>
      <c r="Y10" s="1"/>
      <c r="Z10" s="1"/>
    </row>
    <row r="11" ht="14.25" customHeight="1">
      <c r="A11" s="14" t="s">
        <v>8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3.5" customHeight="1">
      <c r="A14" s="15" t="s">
        <v>9</v>
      </c>
      <c r="B14" s="15" t="s">
        <v>10</v>
      </c>
      <c r="C14" s="15" t="s">
        <v>11</v>
      </c>
      <c r="D14" s="15" t="s">
        <v>12</v>
      </c>
      <c r="E14" s="16" t="s">
        <v>13</v>
      </c>
      <c r="F14" s="17"/>
      <c r="G14" s="18"/>
      <c r="H14" s="18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3.5" customHeight="1">
      <c r="A15" s="19" t="s">
        <v>14</v>
      </c>
      <c r="B15" s="20" t="s">
        <v>15</v>
      </c>
      <c r="C15" s="21" t="s">
        <v>16</v>
      </c>
      <c r="D15" s="22" t="s">
        <v>17</v>
      </c>
      <c r="E15" s="23" t="s">
        <v>18</v>
      </c>
      <c r="G15" s="18"/>
      <c r="H15" s="18"/>
      <c r="J15" s="1"/>
      <c r="L15" s="1"/>
      <c r="M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3.5" customHeight="1">
      <c r="A16" s="15" t="s">
        <v>19</v>
      </c>
      <c r="B16" s="24" t="s">
        <v>20</v>
      </c>
      <c r="C16" s="17"/>
      <c r="D16" s="15" t="s">
        <v>21</v>
      </c>
      <c r="E16" s="25" t="s">
        <v>22</v>
      </c>
      <c r="F16" s="17"/>
      <c r="G16" s="18"/>
      <c r="H16" s="18"/>
      <c r="I16" s="1"/>
      <c r="J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3.5" customHeight="1">
      <c r="A17" s="26" t="s">
        <v>23</v>
      </c>
      <c r="B17" s="27" t="s">
        <v>24</v>
      </c>
      <c r="C17" s="28" t="s">
        <v>25</v>
      </c>
      <c r="D17" s="29">
        <v>3000.0</v>
      </c>
      <c r="E17" s="19" t="s">
        <v>26</v>
      </c>
      <c r="G17" s="18"/>
      <c r="H17" s="18"/>
      <c r="I17" s="1"/>
      <c r="J17" s="1"/>
      <c r="K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3.5" customHeight="1">
      <c r="A18" s="30"/>
      <c r="B18" s="27" t="s">
        <v>27</v>
      </c>
      <c r="C18" s="31" t="s">
        <v>28</v>
      </c>
      <c r="D18" s="1"/>
      <c r="E18" s="1"/>
      <c r="F18" s="1"/>
      <c r="G18" s="18"/>
      <c r="H18" s="1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3.5" customHeight="1">
      <c r="A19" s="32"/>
      <c r="B19" s="27" t="s">
        <v>29</v>
      </c>
      <c r="C19" s="28" t="s">
        <v>30</v>
      </c>
      <c r="D19" s="1"/>
      <c r="E19" s="1"/>
      <c r="F19" s="1"/>
      <c r="G19" s="18"/>
      <c r="H19" s="1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3.5" customHeight="1">
      <c r="A20" s="1"/>
      <c r="B20" s="33"/>
      <c r="D20" s="1"/>
      <c r="E20" s="1"/>
      <c r="F20" s="1"/>
      <c r="G20" s="34" t="s">
        <v>31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3.5" customHeight="1">
      <c r="A21" s="35" t="s">
        <v>32</v>
      </c>
      <c r="B21" s="36"/>
      <c r="C21" s="36"/>
      <c r="D21" s="36"/>
      <c r="E21" s="36"/>
      <c r="F21" s="36"/>
      <c r="G21" s="36"/>
      <c r="H21" s="17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3.5" customHeight="1">
      <c r="A22" s="37" t="s">
        <v>33</v>
      </c>
      <c r="B22" s="38"/>
      <c r="C22" s="38"/>
      <c r="D22" s="38"/>
      <c r="E22" s="38"/>
      <c r="F22" s="38"/>
      <c r="G22" s="38"/>
      <c r="H22" s="38"/>
      <c r="I22" s="39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3.5" customHeight="1">
      <c r="A23" s="40" t="s">
        <v>34</v>
      </c>
      <c r="B23" s="41" t="s">
        <v>35</v>
      </c>
      <c r="C23" s="41"/>
      <c r="D23" s="41"/>
      <c r="E23" s="41"/>
      <c r="F23" s="42" t="s">
        <v>36</v>
      </c>
      <c r="G23" s="42" t="s">
        <v>37</v>
      </c>
      <c r="H23" s="42" t="s">
        <v>38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3.5" customHeight="1">
      <c r="A24" s="43">
        <v>1.0</v>
      </c>
      <c r="B24" s="44" t="s">
        <v>39</v>
      </c>
      <c r="C24" s="45"/>
      <c r="D24" s="45"/>
      <c r="E24" s="46"/>
      <c r="F24" s="47">
        <v>1200000.0</v>
      </c>
      <c r="G24" s="48">
        <v>1.0</v>
      </c>
      <c r="H24" s="49">
        <f>F24</f>
        <v>1200000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3.5" customHeight="1">
      <c r="A25" s="50" t="s">
        <v>40</v>
      </c>
      <c r="B25" s="38"/>
      <c r="C25" s="38"/>
      <c r="D25" s="38"/>
      <c r="E25" s="38"/>
      <c r="F25" s="38"/>
      <c r="G25" s="38"/>
      <c r="H25" s="38"/>
      <c r="I25" s="39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3.5" customHeight="1">
      <c r="A26" s="51" t="s">
        <v>34</v>
      </c>
      <c r="B26" s="41" t="s">
        <v>35</v>
      </c>
      <c r="C26" s="41"/>
      <c r="D26" s="41"/>
      <c r="E26" s="41"/>
      <c r="F26" s="42" t="s">
        <v>36</v>
      </c>
      <c r="G26" s="42" t="s">
        <v>37</v>
      </c>
      <c r="H26" s="42" t="s">
        <v>38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3.5" customHeight="1">
      <c r="A27" s="43">
        <v>1.0</v>
      </c>
      <c r="B27" s="52"/>
      <c r="C27" s="52"/>
      <c r="D27" s="52"/>
      <c r="E27" s="52"/>
      <c r="F27" s="53"/>
      <c r="G27" s="43"/>
      <c r="H27" s="54">
        <v>0.0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3.5" customHeight="1">
      <c r="A28" s="55">
        <v>2.0</v>
      </c>
      <c r="B28" s="56"/>
      <c r="C28" s="56"/>
      <c r="D28" s="56"/>
      <c r="E28" s="56"/>
      <c r="F28" s="56"/>
      <c r="G28" s="57"/>
      <c r="H28" s="58" t="str">
        <f>G28</f>
        <v/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3.5" customHeight="1">
      <c r="A29" s="59" t="s">
        <v>41</v>
      </c>
      <c r="B29" s="60"/>
      <c r="C29" s="60"/>
      <c r="D29" s="60"/>
      <c r="E29" s="60"/>
      <c r="F29" s="61"/>
      <c r="G29" s="62">
        <v>50000.0</v>
      </c>
      <c r="H29" s="6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3.5" customHeight="1">
      <c r="A30" s="41" t="s">
        <v>42</v>
      </c>
      <c r="B30" s="41"/>
      <c r="C30" s="41"/>
      <c r="D30" s="41"/>
      <c r="E30" s="41"/>
      <c r="F30" s="41" t="s">
        <v>43</v>
      </c>
      <c r="G30" s="63">
        <f>H24-G29+H27+H28</f>
        <v>1150000</v>
      </c>
      <c r="H30" s="17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7.25" customHeight="1">
      <c r="A31" s="64" t="str">
        <f t="array" ref="A31">PesosMN(G30)</f>
        <v>#NAME?</v>
      </c>
      <c r="B31" s="36"/>
      <c r="C31" s="36"/>
      <c r="D31" s="36"/>
      <c r="E31" s="36"/>
      <c r="F31" s="17"/>
      <c r="G31" s="65" t="s">
        <v>44</v>
      </c>
      <c r="H31" s="66" t="s">
        <v>45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67"/>
      <c r="B32" s="67"/>
      <c r="C32" s="67"/>
      <c r="D32" s="67"/>
      <c r="E32" s="68"/>
      <c r="F32" s="68"/>
      <c r="G32" s="69" t="s">
        <v>46</v>
      </c>
      <c r="H32" s="69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7.25" customHeight="1">
      <c r="A33" s="19" t="s">
        <v>47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3.5" customHeight="1">
      <c r="I34" s="70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0" customHeight="1">
      <c r="A35" s="71" t="s">
        <v>48</v>
      </c>
      <c r="B35" s="72"/>
      <c r="C35" s="72"/>
      <c r="D35" s="72"/>
      <c r="E35" s="72"/>
      <c r="F35" s="72"/>
      <c r="G35" s="72"/>
      <c r="H35" s="73"/>
      <c r="I35" s="74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0" customHeight="1">
      <c r="A36" s="75"/>
      <c r="H36" s="76"/>
      <c r="I36" s="74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0" customHeight="1">
      <c r="A37" s="75"/>
      <c r="H37" s="76"/>
      <c r="I37" s="74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0" customHeight="1">
      <c r="A38" s="77"/>
      <c r="B38" s="78"/>
      <c r="C38" s="78"/>
      <c r="D38" s="78"/>
      <c r="E38" s="78"/>
      <c r="F38" s="78"/>
      <c r="G38" s="78"/>
      <c r="H38" s="79"/>
      <c r="I38" s="74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0" customHeight="1">
      <c r="A39" s="80" t="s">
        <v>49</v>
      </c>
      <c r="B39" s="36"/>
      <c r="C39" s="36"/>
      <c r="D39" s="36"/>
      <c r="E39" s="36"/>
      <c r="F39" s="36"/>
      <c r="G39" s="36"/>
      <c r="H39" s="17"/>
      <c r="I39" s="74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0" customHeight="1">
      <c r="A40" s="1"/>
      <c r="B40" s="1"/>
      <c r="C40" s="1"/>
      <c r="D40" s="1"/>
      <c r="E40" s="1"/>
      <c r="F40" s="1"/>
      <c r="G40" s="1"/>
      <c r="H40" s="1"/>
      <c r="I40" s="74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3.5" customHeight="1">
      <c r="A41" s="1"/>
      <c r="B41" s="1"/>
      <c r="C41" s="1"/>
      <c r="D41" s="1"/>
      <c r="E41" s="1"/>
      <c r="F41" s="1"/>
      <c r="G41" s="1"/>
      <c r="H41" s="1"/>
      <c r="I41" s="74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3.5" customHeight="1">
      <c r="A42" s="81"/>
      <c r="B42" s="82"/>
      <c r="C42" s="39"/>
      <c r="D42" s="74"/>
      <c r="E42" s="74"/>
      <c r="F42" s="74"/>
      <c r="G42" s="74"/>
      <c r="H42" s="74"/>
      <c r="I42" s="74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7.25" customHeight="1">
      <c r="A43" s="83"/>
      <c r="B43" s="39"/>
      <c r="C43" s="39"/>
      <c r="D43" s="74"/>
      <c r="E43" s="74"/>
      <c r="F43" s="74"/>
      <c r="G43" s="74"/>
      <c r="H43" s="74"/>
      <c r="I43" s="74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3.5" customHeight="1">
      <c r="A44" s="39"/>
      <c r="B44" s="39"/>
      <c r="C44" s="39"/>
      <c r="D44" s="74"/>
      <c r="E44" s="74"/>
      <c r="F44" s="74"/>
      <c r="G44" s="74"/>
      <c r="H44" s="74"/>
      <c r="I44" s="74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3.5" customHeight="1">
      <c r="A45" s="74"/>
      <c r="B45" s="39"/>
      <c r="C45" s="39"/>
      <c r="D45" s="74"/>
      <c r="E45" s="74"/>
      <c r="F45" s="74"/>
      <c r="G45" s="74"/>
      <c r="H45" s="74"/>
      <c r="I45" s="74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3.5" customHeight="1">
      <c r="A46" s="39"/>
      <c r="B46" s="39"/>
      <c r="C46" s="39"/>
      <c r="D46" s="74"/>
      <c r="E46" s="74"/>
      <c r="F46" s="74"/>
      <c r="G46" s="74"/>
      <c r="H46" s="74"/>
      <c r="I46" s="74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7.25" customHeight="1">
      <c r="A47" s="84"/>
      <c r="B47" s="84"/>
      <c r="C47" s="84"/>
      <c r="D47" s="84"/>
      <c r="E47" s="84"/>
      <c r="F47" s="84"/>
      <c r="G47" s="84"/>
      <c r="H47" s="84"/>
      <c r="I47" s="84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8.0" customHeight="1">
      <c r="A48" s="85"/>
      <c r="B48" s="86"/>
      <c r="C48" s="86"/>
      <c r="D48" s="86"/>
      <c r="E48" s="86"/>
      <c r="F48" s="86"/>
      <c r="G48" s="86"/>
      <c r="H48" s="86"/>
      <c r="I48" s="86"/>
      <c r="J48" s="87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3.5" customHeight="1">
      <c r="A49" s="38"/>
      <c r="B49" s="38"/>
      <c r="C49" s="38"/>
      <c r="D49" s="38"/>
      <c r="E49" s="38"/>
      <c r="F49" s="38"/>
      <c r="G49" s="38"/>
      <c r="H49" s="38"/>
      <c r="I49" s="39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3.5" customHeight="1">
      <c r="A50" s="88"/>
      <c r="B50" s="39"/>
      <c r="C50" s="39"/>
      <c r="D50" s="39"/>
      <c r="E50" s="39"/>
      <c r="F50" s="39"/>
      <c r="G50" s="39"/>
      <c r="H50" s="39"/>
      <c r="I50" s="39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3.5" customHeight="1">
      <c r="A51" s="39"/>
      <c r="B51" s="39"/>
      <c r="C51" s="39"/>
      <c r="D51" s="39"/>
      <c r="E51" s="39"/>
      <c r="F51" s="39"/>
      <c r="G51" s="39"/>
      <c r="H51" s="39"/>
      <c r="I51" s="39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3.5" customHeight="1">
      <c r="A52" s="39"/>
      <c r="B52" s="39"/>
      <c r="C52" s="39"/>
      <c r="D52" s="39"/>
      <c r="E52" s="39"/>
      <c r="F52" s="39"/>
      <c r="G52" s="39"/>
      <c r="H52" s="39"/>
      <c r="I52" s="39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3.5" customHeight="1">
      <c r="A53" s="39"/>
      <c r="B53" s="39"/>
      <c r="C53" s="39"/>
      <c r="D53" s="39"/>
      <c r="E53" s="39"/>
      <c r="F53" s="39"/>
      <c r="G53" s="39"/>
      <c r="H53" s="39"/>
      <c r="I53" s="39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3.5" customHeight="1">
      <c r="A54" s="38"/>
      <c r="B54" s="38"/>
      <c r="C54" s="38"/>
      <c r="D54" s="38"/>
      <c r="E54" s="39"/>
      <c r="F54" s="39"/>
      <c r="G54" s="39"/>
      <c r="H54" s="39"/>
      <c r="I54" s="39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3.5" customHeight="1">
      <c r="A55" s="37" t="s">
        <v>50</v>
      </c>
      <c r="B55" s="38"/>
      <c r="C55" s="38"/>
      <c r="D55" s="38"/>
      <c r="E55" s="38"/>
      <c r="F55" s="38"/>
      <c r="G55" s="38"/>
      <c r="H55" s="38"/>
      <c r="I55" s="39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3.5" customHeight="1">
      <c r="A56" s="89" t="s">
        <v>51</v>
      </c>
      <c r="B56" s="36"/>
      <c r="C56" s="36"/>
      <c r="D56" s="36"/>
      <c r="E56" s="17"/>
      <c r="F56" s="38"/>
      <c r="G56" s="38"/>
      <c r="H56" s="38"/>
      <c r="I56" s="39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3.5" customHeight="1">
      <c r="A57" s="90" t="s">
        <v>52</v>
      </c>
      <c r="B57" s="36"/>
      <c r="C57" s="36"/>
      <c r="D57" s="36"/>
      <c r="E57" s="36"/>
      <c r="F57" s="36"/>
      <c r="G57" s="36"/>
      <c r="H57" s="17"/>
      <c r="I57" s="39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3.5" customHeight="1">
      <c r="A58" s="91" t="s">
        <v>53</v>
      </c>
      <c r="C58" s="1"/>
      <c r="D58" s="1"/>
      <c r="E58" s="9" t="s">
        <v>54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3.5" customHeight="1">
      <c r="A59" s="91"/>
      <c r="B59" s="9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91" t="s">
        <v>55</v>
      </c>
      <c r="C60" s="1"/>
      <c r="D60" s="1"/>
      <c r="E60" s="92" t="s">
        <v>56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3.5" customHeight="1">
      <c r="A61" s="91"/>
      <c r="B61" s="91"/>
      <c r="C61" s="1"/>
      <c r="D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3.5" customHeight="1">
      <c r="A62" s="91"/>
      <c r="B62" s="9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91" t="s">
        <v>57</v>
      </c>
      <c r="C63" s="1"/>
      <c r="D63" s="1"/>
      <c r="E63" s="93" t="str">
        <f>IF(E15=Valores!H13,Valores!C30,IF(E15=Valores!H14,Valores!C31,IF(E15=Valores!H15,Valores!C32,"")))</f>
        <v>OTORGADA POR EL FABRICANTE DE 10 AÑOS O 200 MIL KILOMETROS.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3.5" customHeight="1">
      <c r="A64" s="91"/>
      <c r="B64" s="91"/>
      <c r="C64" s="1"/>
      <c r="D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3.5" customHeight="1">
      <c r="A65" s="91"/>
      <c r="B65" s="9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91" t="s">
        <v>58</v>
      </c>
      <c r="C66" s="1"/>
      <c r="D66" s="1"/>
      <c r="E66" s="94" t="s">
        <v>59</v>
      </c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3.5" customHeight="1">
      <c r="A67" s="91"/>
      <c r="B67" s="91"/>
      <c r="C67" s="1"/>
      <c r="D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3.5" customHeight="1">
      <c r="A68" s="91"/>
      <c r="B68" s="9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95" t="s">
        <v>60</v>
      </c>
      <c r="C69" s="1"/>
      <c r="D69" s="1"/>
      <c r="E69" s="96" t="s">
        <v>61</v>
      </c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3.5" customHeight="1">
      <c r="C70" s="1"/>
      <c r="D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3.5" customHeight="1">
      <c r="A71" s="97"/>
      <c r="B71" s="97"/>
      <c r="C71" s="1"/>
      <c r="D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3.5" customHeight="1">
      <c r="A72" s="98"/>
      <c r="B72" s="98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27.0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99" t="s">
        <v>62</v>
      </c>
      <c r="C74" s="1"/>
      <c r="D74" s="1"/>
      <c r="E74" s="100" t="s">
        <v>63</v>
      </c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3.5" customHeight="1">
      <c r="C75" s="1"/>
      <c r="D75" s="100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3.5" customHeight="1">
      <c r="C76" s="1"/>
      <c r="D76" s="100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3.5" customHeight="1">
      <c r="A77" s="1"/>
      <c r="B77" s="1"/>
      <c r="C77" s="1"/>
      <c r="D77" s="100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3.5" customHeight="1">
      <c r="A78" s="101" t="s">
        <v>64</v>
      </c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3.5" customHeight="1">
      <c r="A79" s="102" t="s">
        <v>65</v>
      </c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3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3.5" customHeight="1">
      <c r="A81" s="1"/>
      <c r="B81" s="1"/>
      <c r="C81" s="1"/>
      <c r="D81" s="1"/>
      <c r="E81" s="1"/>
      <c r="F81" s="1"/>
      <c r="G81" s="103"/>
      <c r="H81" s="103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3.5" customHeight="1">
      <c r="A82" s="103"/>
      <c r="B82" s="97" t="s">
        <v>66</v>
      </c>
      <c r="C82" s="1"/>
      <c r="D82" s="1"/>
      <c r="E82" s="1"/>
      <c r="F82" s="1"/>
      <c r="G82" s="103"/>
      <c r="H82" s="103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3.5" customHeight="1">
      <c r="B83" s="97" t="s">
        <v>67</v>
      </c>
      <c r="C83" s="1"/>
      <c r="D83" s="1"/>
      <c r="E83" s="1"/>
      <c r="F83" s="1"/>
      <c r="G83" s="103"/>
      <c r="H83" s="103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3.5" customHeight="1">
      <c r="B84" s="104">
        <v>4.775805988E9</v>
      </c>
      <c r="D84" s="1"/>
      <c r="E84" s="1"/>
      <c r="F84" s="1"/>
      <c r="G84" s="103"/>
      <c r="H84" s="103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3.5" customHeight="1">
      <c r="B85" s="105" t="s">
        <v>68</v>
      </c>
      <c r="C85" s="1"/>
      <c r="D85" s="1"/>
      <c r="E85" s="1"/>
      <c r="F85" s="1"/>
      <c r="G85" s="103"/>
      <c r="H85" s="103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3.5" customHeight="1">
      <c r="B86" s="1"/>
      <c r="C86" s="1"/>
      <c r="D86" s="1"/>
      <c r="E86" s="1"/>
      <c r="F86" s="1"/>
      <c r="G86" s="103"/>
      <c r="H86" s="103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3.5" customHeight="1">
      <c r="A87" s="1"/>
      <c r="B87" s="1"/>
      <c r="C87" s="1"/>
      <c r="D87" s="1"/>
      <c r="E87" s="1"/>
      <c r="F87" s="1"/>
      <c r="G87" s="103"/>
      <c r="H87" s="103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3.5" customHeight="1">
      <c r="A88" s="1"/>
      <c r="B88" s="1"/>
      <c r="C88" s="1"/>
      <c r="D88" s="1"/>
      <c r="E88" s="1"/>
      <c r="F88" s="1"/>
      <c r="G88" s="103"/>
      <c r="H88" s="103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3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3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3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3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3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3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7">
    <mergeCell ref="B16:C16"/>
    <mergeCell ref="B20:C20"/>
    <mergeCell ref="F7:H7"/>
    <mergeCell ref="G8:H8"/>
    <mergeCell ref="A11:H13"/>
    <mergeCell ref="E14:F14"/>
    <mergeCell ref="E15:F15"/>
    <mergeCell ref="E16:F16"/>
    <mergeCell ref="E17:F17"/>
    <mergeCell ref="G20:H20"/>
    <mergeCell ref="A21:H21"/>
    <mergeCell ref="B24:E24"/>
    <mergeCell ref="A29:F29"/>
    <mergeCell ref="G29:H29"/>
    <mergeCell ref="G30:H30"/>
    <mergeCell ref="A31:F31"/>
    <mergeCell ref="E58:H58"/>
    <mergeCell ref="E60:H61"/>
    <mergeCell ref="A33:H34"/>
    <mergeCell ref="A35:H38"/>
    <mergeCell ref="A39:H39"/>
    <mergeCell ref="A56:E56"/>
    <mergeCell ref="A57:H57"/>
    <mergeCell ref="A58:B58"/>
    <mergeCell ref="A60:B60"/>
    <mergeCell ref="E74:H77"/>
    <mergeCell ref="A78:H78"/>
    <mergeCell ref="A79:H79"/>
    <mergeCell ref="A82:A86"/>
    <mergeCell ref="B84:C84"/>
    <mergeCell ref="A63:B63"/>
    <mergeCell ref="E63:H64"/>
    <mergeCell ref="A66:B66"/>
    <mergeCell ref="E66:H67"/>
    <mergeCell ref="A69:B70"/>
    <mergeCell ref="E69:H71"/>
    <mergeCell ref="A74:B76"/>
  </mergeCells>
  <dataValidations>
    <dataValidation type="list" allowBlank="1" showErrorMessage="1" sqref="B15 A17">
      <formula1>Valores!$B$2:$B$25</formula1>
    </dataValidation>
    <dataValidation type="list" allowBlank="1" showErrorMessage="1" sqref="C15">
      <formula1>Valores!$C$2:$C$16</formula1>
    </dataValidation>
    <dataValidation type="list" allowBlank="1" showErrorMessage="1" sqref="E16">
      <formula1>Valores!$K$11:$K$14</formula1>
    </dataValidation>
    <dataValidation type="list" allowBlank="1" showErrorMessage="1" sqref="D15">
      <formula1>Valores!$D$2:$D$3</formula1>
    </dataValidation>
    <dataValidation type="list" allowBlank="1" showErrorMessage="1" sqref="E15">
      <formula1>Valores!$H$13:$H$15</formula1>
    </dataValidation>
    <dataValidation type="list" allowBlank="1" showErrorMessage="1" sqref="E60">
      <formula1>Valores!$B$30:$B$31</formula1>
    </dataValidation>
    <dataValidation type="list" allowBlank="1" showErrorMessage="1" sqref="A56">
      <formula1>Valores!$H$18:$H$19</formula1>
    </dataValidation>
    <dataValidation type="list" allowBlank="1" showErrorMessage="1" sqref="E63">
      <formula1>Valores!$C$30:$C$32</formula1>
    </dataValidation>
  </dataValidations>
  <hyperlinks>
    <hyperlink r:id="rId1" ref="B85"/>
  </hyperlinks>
  <printOptions horizontalCentered="1" verticalCentered="1"/>
  <pageMargins bottom="0.0" footer="0.0" header="0.0" left="0.0" right="0.0" top="0.0"/>
  <pageSetup scale="97" orientation="portrait"/>
  <headerFooter>
    <oddFooter>&amp;C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2.63" defaultRowHeight="15.0"/>
  <cols>
    <col customWidth="1" min="1" max="1" width="10.63"/>
    <col customWidth="1" min="2" max="2" width="27.0"/>
    <col customWidth="1" min="3" max="7" width="10.63"/>
    <col customWidth="1" min="8" max="8" width="13.5"/>
    <col customWidth="1" min="9" max="9" width="16.63"/>
    <col customWidth="1" min="10" max="10" width="14.5"/>
    <col customWidth="1" min="11" max="26" width="10.63"/>
  </cols>
  <sheetData>
    <row r="1" ht="14.25" customHeight="1">
      <c r="A1" s="106" t="s">
        <v>9</v>
      </c>
      <c r="B1" s="106" t="s">
        <v>10</v>
      </c>
      <c r="C1" s="106" t="s">
        <v>11</v>
      </c>
      <c r="D1" s="106" t="s">
        <v>12</v>
      </c>
      <c r="E1" s="106" t="s">
        <v>69</v>
      </c>
      <c r="F1" s="106" t="s">
        <v>70</v>
      </c>
      <c r="H1" s="107" t="s">
        <v>20</v>
      </c>
      <c r="I1" s="17"/>
      <c r="J1" s="106" t="s">
        <v>71</v>
      </c>
      <c r="L1" s="108" t="s">
        <v>72</v>
      </c>
      <c r="M1" s="109" t="s">
        <v>73</v>
      </c>
    </row>
    <row r="2" ht="14.25" customHeight="1">
      <c r="A2" s="109" t="s">
        <v>14</v>
      </c>
      <c r="B2" s="109" t="s">
        <v>74</v>
      </c>
      <c r="C2" s="109" t="s">
        <v>75</v>
      </c>
      <c r="D2" s="110">
        <v>2024.0</v>
      </c>
      <c r="E2" s="109" t="s">
        <v>75</v>
      </c>
      <c r="F2" s="110">
        <v>7009.0</v>
      </c>
      <c r="H2" s="111" t="s">
        <v>76</v>
      </c>
    </row>
    <row r="3" ht="14.25" customHeight="1">
      <c r="B3" s="109" t="s">
        <v>77</v>
      </c>
      <c r="C3" s="109" t="s">
        <v>78</v>
      </c>
      <c r="D3" s="110">
        <v>2025.0</v>
      </c>
      <c r="E3" s="109" t="s">
        <v>79</v>
      </c>
      <c r="F3" s="110">
        <v>7009.0</v>
      </c>
      <c r="H3" s="111" t="s">
        <v>80</v>
      </c>
    </row>
    <row r="4" ht="14.25" customHeight="1">
      <c r="B4" s="109" t="s">
        <v>81</v>
      </c>
      <c r="C4" s="109" t="s">
        <v>82</v>
      </c>
      <c r="D4" s="110"/>
      <c r="E4" s="109" t="s">
        <v>83</v>
      </c>
      <c r="F4" s="110">
        <v>7009.0</v>
      </c>
      <c r="H4" s="111" t="s">
        <v>84</v>
      </c>
    </row>
    <row r="5" ht="14.25" customHeight="1">
      <c r="B5" s="109" t="s">
        <v>85</v>
      </c>
      <c r="C5" s="109" t="s">
        <v>72</v>
      </c>
      <c r="E5" s="109" t="s">
        <v>86</v>
      </c>
      <c r="F5" s="110">
        <v>7009.0</v>
      </c>
      <c r="H5" s="107" t="s">
        <v>20</v>
      </c>
      <c r="I5" s="17"/>
      <c r="J5" s="106" t="s">
        <v>87</v>
      </c>
    </row>
    <row r="6" ht="14.25" customHeight="1">
      <c r="B6" s="109" t="s">
        <v>88</v>
      </c>
      <c r="C6" s="109" t="s">
        <v>89</v>
      </c>
      <c r="E6" s="109" t="s">
        <v>90</v>
      </c>
      <c r="F6" s="110">
        <v>7009.0</v>
      </c>
      <c r="H6" s="111" t="s">
        <v>76</v>
      </c>
    </row>
    <row r="7" ht="14.25" customHeight="1">
      <c r="B7" s="109" t="s">
        <v>91</v>
      </c>
      <c r="C7" s="109" t="s">
        <v>92</v>
      </c>
      <c r="E7" s="109" t="s">
        <v>82</v>
      </c>
      <c r="F7" s="110">
        <v>7009.0</v>
      </c>
      <c r="H7" s="111" t="s">
        <v>80</v>
      </c>
    </row>
    <row r="8" ht="14.25" customHeight="1">
      <c r="B8" s="109" t="s">
        <v>15</v>
      </c>
      <c r="C8" s="109" t="s">
        <v>93</v>
      </c>
      <c r="E8" s="109" t="s">
        <v>72</v>
      </c>
      <c r="F8" s="110">
        <v>7009.0</v>
      </c>
      <c r="H8" s="111" t="s">
        <v>84</v>
      </c>
    </row>
    <row r="9" ht="14.25" customHeight="1">
      <c r="B9" s="109" t="s">
        <v>94</v>
      </c>
      <c r="C9" s="109" t="s">
        <v>95</v>
      </c>
      <c r="E9" s="109" t="s">
        <v>89</v>
      </c>
      <c r="F9" s="110">
        <v>7009.0</v>
      </c>
    </row>
    <row r="10" ht="14.25" customHeight="1">
      <c r="B10" s="109" t="s">
        <v>96</v>
      </c>
      <c r="C10" s="109" t="s">
        <v>97</v>
      </c>
      <c r="E10" s="109" t="s">
        <v>92</v>
      </c>
      <c r="F10" s="110">
        <v>7009.0</v>
      </c>
    </row>
    <row r="11" ht="14.25" customHeight="1">
      <c r="B11" s="109" t="s">
        <v>98</v>
      </c>
      <c r="C11" s="112" t="s">
        <v>99</v>
      </c>
      <c r="E11" s="109" t="s">
        <v>93</v>
      </c>
      <c r="F11" s="110">
        <v>7009.0</v>
      </c>
      <c r="K11" s="109" t="s">
        <v>22</v>
      </c>
    </row>
    <row r="12" ht="14.25" customHeight="1">
      <c r="B12" s="109" t="s">
        <v>100</v>
      </c>
      <c r="C12" s="112" t="s">
        <v>101</v>
      </c>
      <c r="E12" s="109" t="s">
        <v>95</v>
      </c>
      <c r="F12" s="110">
        <v>7009.0</v>
      </c>
      <c r="H12" s="113" t="s">
        <v>13</v>
      </c>
      <c r="I12" s="114"/>
      <c r="K12" s="109" t="s">
        <v>102</v>
      </c>
    </row>
    <row r="13" ht="14.25" customHeight="1">
      <c r="B13" s="109" t="s">
        <v>103</v>
      </c>
      <c r="C13" s="109" t="s">
        <v>104</v>
      </c>
      <c r="E13" s="109" t="s">
        <v>97</v>
      </c>
      <c r="F13" s="110">
        <v>7009.0</v>
      </c>
      <c r="H13" s="115" t="s">
        <v>105</v>
      </c>
      <c r="I13" s="115"/>
      <c r="K13" s="109" t="s">
        <v>106</v>
      </c>
    </row>
    <row r="14" ht="14.25" customHeight="1">
      <c r="B14" s="109" t="s">
        <v>107</v>
      </c>
      <c r="C14" s="109" t="s">
        <v>108</v>
      </c>
      <c r="E14" s="109" t="s">
        <v>109</v>
      </c>
      <c r="F14" s="110">
        <v>7009.0</v>
      </c>
      <c r="H14" s="115" t="s">
        <v>110</v>
      </c>
      <c r="K14" s="109" t="s">
        <v>111</v>
      </c>
    </row>
    <row r="15" ht="14.25" customHeight="1">
      <c r="B15" s="109" t="s">
        <v>112</v>
      </c>
      <c r="C15" s="109" t="s">
        <v>113</v>
      </c>
      <c r="E15" s="109" t="s">
        <v>114</v>
      </c>
      <c r="F15" s="110">
        <v>7009.0</v>
      </c>
      <c r="H15" s="116" t="s">
        <v>18</v>
      </c>
      <c r="I15" s="115"/>
    </row>
    <row r="16" ht="14.25" customHeight="1">
      <c r="B16" s="109" t="s">
        <v>115</v>
      </c>
      <c r="C16" s="109" t="s">
        <v>16</v>
      </c>
      <c r="I16" s="116"/>
    </row>
    <row r="17" ht="14.25" customHeight="1">
      <c r="B17" s="109" t="s">
        <v>116</v>
      </c>
      <c r="H17" s="109" t="s">
        <v>117</v>
      </c>
    </row>
    <row r="18" ht="14.25" customHeight="1">
      <c r="B18" s="109" t="s">
        <v>118</v>
      </c>
      <c r="H18" s="109" t="s">
        <v>51</v>
      </c>
    </row>
    <row r="19" ht="14.25" customHeight="1">
      <c r="B19" s="109" t="s">
        <v>119</v>
      </c>
      <c r="H19" s="109" t="s">
        <v>120</v>
      </c>
    </row>
    <row r="20" ht="14.25" customHeight="1">
      <c r="B20" s="109" t="s">
        <v>121</v>
      </c>
    </row>
    <row r="21" ht="14.25" customHeight="1">
      <c r="B21" s="109" t="s">
        <v>122</v>
      </c>
    </row>
    <row r="22" ht="14.25" customHeight="1">
      <c r="B22" s="109" t="s">
        <v>123</v>
      </c>
      <c r="H22" s="109" t="s">
        <v>124</v>
      </c>
    </row>
    <row r="23" ht="14.25" customHeight="1">
      <c r="B23" s="109" t="s">
        <v>23</v>
      </c>
      <c r="H23" s="117" t="str">
        <f>Cotizador!C15 &amp; "/FTNLN/"</f>
        <v>TUNLAND/FTNLN/</v>
      </c>
      <c r="I23" s="118">
        <v>7147.0</v>
      </c>
    </row>
    <row r="24" ht="14.25" customHeight="1">
      <c r="B24" s="109" t="s">
        <v>125</v>
      </c>
    </row>
    <row r="25" ht="14.25" customHeight="1">
      <c r="B25" s="109" t="s">
        <v>126</v>
      </c>
    </row>
    <row r="26" ht="14.25" customHeight="1"/>
    <row r="27" ht="14.25" customHeight="1"/>
    <row r="28" ht="14.25" customHeight="1"/>
    <row r="29" ht="14.25" customHeight="1">
      <c r="B29" s="119" t="s">
        <v>127</v>
      </c>
      <c r="C29" s="119" t="s">
        <v>128</v>
      </c>
    </row>
    <row r="30" ht="14.25" customHeight="1">
      <c r="B30" s="109" t="s">
        <v>56</v>
      </c>
      <c r="C30" s="120" t="s">
        <v>129</v>
      </c>
      <c r="D30" s="121"/>
      <c r="E30" s="121"/>
      <c r="F30" s="121"/>
    </row>
    <row r="31" ht="14.25" customHeight="1">
      <c r="B31" s="122">
        <f>EOMONTH(TODAY(), 0)</f>
        <v>45565</v>
      </c>
      <c r="C31" s="120" t="s">
        <v>130</v>
      </c>
      <c r="D31" s="121"/>
      <c r="E31" s="121"/>
      <c r="F31" s="121"/>
    </row>
    <row r="32" ht="14.25" customHeight="1">
      <c r="C32" s="120" t="s">
        <v>131</v>
      </c>
    </row>
    <row r="33" ht="14.25" customHeight="1"/>
    <row r="34" ht="14.25" customHeight="1">
      <c r="B34" s="109" t="s">
        <v>132</v>
      </c>
    </row>
    <row r="35" ht="14.25" customHeight="1">
      <c r="B35" s="109" t="s">
        <v>133</v>
      </c>
    </row>
    <row r="36" ht="14.25" customHeight="1">
      <c r="B36" s="109" t="s">
        <v>134</v>
      </c>
    </row>
    <row r="37" ht="14.25" customHeight="1">
      <c r="B37" s="109" t="s">
        <v>135</v>
      </c>
      <c r="C37" s="109" t="s">
        <v>136</v>
      </c>
      <c r="D37" s="109" t="s">
        <v>137</v>
      </c>
    </row>
    <row r="38" ht="14.25" customHeight="1">
      <c r="B38" s="109" t="s">
        <v>138</v>
      </c>
      <c r="C38" s="109" t="s">
        <v>139</v>
      </c>
    </row>
    <row r="39" ht="14.25" customHeight="1">
      <c r="B39" s="109" t="s">
        <v>140</v>
      </c>
      <c r="C39" s="109" t="s">
        <v>141</v>
      </c>
    </row>
    <row r="40" ht="14.25" customHeight="1">
      <c r="B40" s="109" t="s">
        <v>142</v>
      </c>
      <c r="C40" s="109" t="s">
        <v>143</v>
      </c>
      <c r="D40" s="109" t="s">
        <v>144</v>
      </c>
    </row>
    <row r="41" ht="14.25" customHeight="1">
      <c r="B41" s="109" t="s">
        <v>145</v>
      </c>
    </row>
    <row r="42" ht="14.25" customHeight="1">
      <c r="B42" s="109" t="s">
        <v>146</v>
      </c>
      <c r="C42" s="109" t="s">
        <v>147</v>
      </c>
    </row>
    <row r="43" ht="14.25" customHeight="1">
      <c r="B43" s="109" t="s">
        <v>148</v>
      </c>
    </row>
    <row r="44" ht="14.25" customHeight="1">
      <c r="B44" s="109" t="s">
        <v>149</v>
      </c>
      <c r="C44" s="109" t="s">
        <v>150</v>
      </c>
      <c r="D44" s="109" t="s">
        <v>151</v>
      </c>
    </row>
    <row r="45" ht="14.25" customHeight="1">
      <c r="B45" s="109" t="s">
        <v>152</v>
      </c>
      <c r="C45" s="109" t="s">
        <v>153</v>
      </c>
    </row>
    <row r="46" ht="14.25" customHeight="1">
      <c r="B46" s="109" t="s">
        <v>154</v>
      </c>
      <c r="C46" s="109" t="s">
        <v>155</v>
      </c>
    </row>
    <row r="47" ht="14.25" customHeight="1">
      <c r="B47" s="109" t="s">
        <v>156</v>
      </c>
    </row>
    <row r="48" ht="14.25" customHeight="1">
      <c r="B48" s="109" t="s">
        <v>157</v>
      </c>
    </row>
    <row r="49" ht="14.25" customHeight="1">
      <c r="B49" s="109" t="s">
        <v>158</v>
      </c>
    </row>
    <row r="50" ht="14.25" customHeight="1">
      <c r="B50" s="109" t="s">
        <v>159</v>
      </c>
    </row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8">
    <mergeCell ref="H1:I1"/>
    <mergeCell ref="H2:I2"/>
    <mergeCell ref="H3:I3"/>
    <mergeCell ref="H4:I4"/>
    <mergeCell ref="H5:I5"/>
    <mergeCell ref="H6:I6"/>
    <mergeCell ref="H7:I7"/>
    <mergeCell ref="H8:I8"/>
  </mergeCells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2024-09-22T04:21:04Z</dcterms:created>
  <dc:creator>RAMON DANIEL RIVERA AYALA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0x010100D0412B3A0922B94DB30FECC6E6F14197</vt:lpwstr>
  </property>
</Properties>
</file>